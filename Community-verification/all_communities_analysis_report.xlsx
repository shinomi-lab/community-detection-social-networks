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louvain/"/>
    </mc:Choice>
  </mc:AlternateContent>
  <xr:revisionPtr revIDLastSave="0" documentId="13_ncr:9_{8CB8913D-F0FF-8344-854B-5883747606AD}" xr6:coauthVersionLast="47" xr6:coauthVersionMax="47" xr10:uidLastSave="{00000000-0000-0000-0000-000000000000}"/>
  <bookViews>
    <workbookView xWindow="0" yWindow="0" windowWidth="33600" windowHeight="21000" xr2:uid="{C7856CED-D0C1-6C46-B60B-F1A15599591E}"/>
  </bookViews>
  <sheets>
    <sheet name="all_communities_analysis_report" sheetId="1" r:id="rId1"/>
    <sheet name="Sheet1" sheetId="2" r:id="rId2"/>
  </sheets>
  <definedNames>
    <definedName name="_xlnm._FilterDatabase" localSheetId="0" hidden="1">all_communities_analysis_report!$A$1:$Q$48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7" i="1"/>
  <c r="T7" i="1"/>
  <c r="V7" i="1"/>
  <c r="Q8" i="1"/>
  <c r="T8" i="1"/>
  <c r="V8" i="1"/>
  <c r="Q9" i="1"/>
  <c r="T9" i="1"/>
  <c r="V9" i="1"/>
  <c r="Q13" i="1"/>
  <c r="Q14" i="1"/>
  <c r="T14" i="1"/>
  <c r="V14" i="1"/>
  <c r="Q15" i="1"/>
  <c r="T15" i="1"/>
  <c r="V15" i="1"/>
  <c r="Q16" i="1"/>
  <c r="T16" i="1"/>
  <c r="T17" i="1"/>
  <c r="T18" i="1"/>
  <c r="T19" i="1"/>
  <c r="Q21" i="1"/>
  <c r="Q22" i="1"/>
  <c r="Q23" i="1"/>
  <c r="Q24" i="1"/>
  <c r="Q27" i="1"/>
  <c r="Q28" i="1"/>
  <c r="Q31" i="1"/>
  <c r="Q32" i="1"/>
  <c r="Q3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2" i="1"/>
  <c r="T11" i="1" l="1"/>
  <c r="V11" i="1"/>
</calcChain>
</file>

<file path=xl/sharedStrings.xml><?xml version="1.0" encoding="utf-8"?>
<sst xmlns="http://schemas.openxmlformats.org/spreadsheetml/2006/main" count="142" uniqueCount="116">
  <si>
    <t>Filename</t>
  </si>
  <si>
    <t>Nodes</t>
  </si>
  <si>
    <t>Edges</t>
  </si>
  <si>
    <t>Sigma</t>
  </si>
  <si>
    <t>PR_1_Node</t>
  </si>
  <si>
    <t>PR_1_Score</t>
  </si>
  <si>
    <t>PR_2_Node</t>
  </si>
  <si>
    <t>PR_2_Score</t>
  </si>
  <si>
    <t>PR_3_Node</t>
  </si>
  <si>
    <t>PR_3_Score</t>
  </si>
  <si>
    <t>community_9.txt</t>
  </si>
  <si>
    <t>community_14.txt</t>
  </si>
  <si>
    <t>community_15.txt</t>
  </si>
  <si>
    <t>community_16.txt</t>
  </si>
  <si>
    <t>community_18.txt</t>
  </si>
  <si>
    <t>community_21.txt</t>
  </si>
  <si>
    <t>community_22.txt</t>
  </si>
  <si>
    <t>community_23.txt</t>
  </si>
  <si>
    <t>community_25.txt</t>
  </si>
  <si>
    <t>community_28.txt</t>
  </si>
  <si>
    <t>community_33.txt</t>
  </si>
  <si>
    <t>community_35.txt</t>
  </si>
  <si>
    <t>community_39.txt</t>
  </si>
  <si>
    <t>community_40.txt</t>
  </si>
  <si>
    <t>community_43.txt</t>
  </si>
  <si>
    <t>community_44.txt</t>
  </si>
  <si>
    <t>community_45.txt</t>
  </si>
  <si>
    <t>community_47.txt</t>
  </si>
  <si>
    <t>平均クラスター係数</t>
  </si>
  <si>
    <t>平均クラスター係数</t>
    <rPh sb="0" eb="2">
      <t>ヘイキn</t>
    </rPh>
    <phoneticPr fontId="18"/>
  </si>
  <si>
    <t>密度</t>
  </si>
  <si>
    <t>密度</t>
    <rPh sb="0" eb="2">
      <t>ミツド</t>
    </rPh>
    <phoneticPr fontId="18"/>
  </si>
  <si>
    <t>最高値</t>
  </si>
  <si>
    <t>最高値</t>
    <rPh sb="0" eb="3">
      <t>サイコウ</t>
    </rPh>
    <phoneticPr fontId="18"/>
  </si>
  <si>
    <t>最低値</t>
  </si>
  <si>
    <t>最低値</t>
    <rPh sb="0" eb="1">
      <t>サイテイ</t>
    </rPh>
    <phoneticPr fontId="18"/>
  </si>
  <si>
    <t>平均値</t>
  </si>
  <si>
    <t>平均値</t>
    <rPh sb="0" eb="1">
      <t>ヘイキンティ</t>
    </rPh>
    <phoneticPr fontId="18"/>
  </si>
  <si>
    <t>平均値</t>
    <rPh sb="0" eb="3">
      <t>ヘイキn</t>
    </rPh>
    <phoneticPr fontId="18"/>
  </si>
  <si>
    <t>σ</t>
  </si>
  <si>
    <t>σ</t>
    <phoneticPr fontId="18"/>
  </si>
  <si>
    <t>中央値</t>
  </si>
  <si>
    <t>中央値</t>
    <rPh sb="0" eb="3">
      <t>チュウ</t>
    </rPh>
    <phoneticPr fontId="18"/>
  </si>
  <si>
    <t>中央値</t>
    <rPh sb="0" eb="3">
      <t>チュウオウテ</t>
    </rPh>
    <phoneticPr fontId="18"/>
  </si>
  <si>
    <t>2位/1位比率</t>
    <phoneticPr fontId="18"/>
  </si>
  <si>
    <t>3位/1位比率</t>
    <phoneticPr fontId="18"/>
  </si>
  <si>
    <t>pagerank</t>
  </si>
  <si>
    <t>pagerank</t>
    <phoneticPr fontId="18"/>
  </si>
  <si>
    <t>90％以上</t>
  </si>
  <si>
    <t>50％以下</t>
  </si>
  <si>
    <t>2位/1位 類似度</t>
  </si>
  <si>
    <t>3位/1位 類似度</t>
  </si>
  <si>
    <t>3位/1位 類似度</t>
    <phoneticPr fontId="18"/>
  </si>
  <si>
    <t>community_20.txt</t>
    <phoneticPr fontId="18"/>
  </si>
  <si>
    <t>community_31.txt</t>
    <phoneticPr fontId="18"/>
  </si>
  <si>
    <t>community_0.txt</t>
    <phoneticPr fontId="18"/>
  </si>
  <si>
    <t>community_6.txt</t>
    <phoneticPr fontId="18"/>
  </si>
  <si>
    <t>community_37.txt</t>
    <phoneticPr fontId="18"/>
  </si>
  <si>
    <t>平均より</t>
  </si>
  <si>
    <t>平均より</t>
    <rPh sb="0" eb="2">
      <t>ヘイキンイ</t>
    </rPh>
    <phoneticPr fontId="18"/>
  </si>
  <si>
    <t>下</t>
  </si>
  <si>
    <t>下</t>
    <rPh sb="0" eb="1">
      <t xml:space="preserve">シタ </t>
    </rPh>
    <phoneticPr fontId="18"/>
  </si>
  <si>
    <t>上</t>
  </si>
  <si>
    <t>上</t>
    <rPh sb="0" eb="1">
      <t>ウエ</t>
    </rPh>
    <phoneticPr fontId="18"/>
  </si>
  <si>
    <t>四分位数</t>
  </si>
  <si>
    <t>四分位数</t>
    <phoneticPr fontId="18"/>
  </si>
  <si>
    <t>第一</t>
  </si>
  <si>
    <t>第一</t>
    <rPh sb="0" eb="2">
      <t>ダイイティ</t>
    </rPh>
    <phoneticPr fontId="18"/>
  </si>
  <si>
    <t>第二</t>
  </si>
  <si>
    <t>第二</t>
    <rPh sb="0" eb="2">
      <t>ダイニ</t>
    </rPh>
    <phoneticPr fontId="18"/>
  </si>
  <si>
    <t>第三</t>
  </si>
  <si>
    <t>第三</t>
    <rPh sb="0" eb="2">
      <t>ダイサ</t>
    </rPh>
    <phoneticPr fontId="18"/>
  </si>
  <si>
    <t>community_4.txt</t>
    <phoneticPr fontId="18"/>
  </si>
  <si>
    <t>community_7.txt</t>
    <phoneticPr fontId="18"/>
  </si>
  <si>
    <t>community_1.txt</t>
    <phoneticPr fontId="18"/>
  </si>
  <si>
    <t>community_2.txt</t>
    <phoneticPr fontId="18"/>
  </si>
  <si>
    <t>community_3.txt</t>
    <phoneticPr fontId="18"/>
  </si>
  <si>
    <t>community_8.txt</t>
    <phoneticPr fontId="18"/>
  </si>
  <si>
    <t>community_10.txt</t>
    <phoneticPr fontId="18"/>
  </si>
  <si>
    <t>community_11.txt</t>
    <phoneticPr fontId="18"/>
  </si>
  <si>
    <t>community_12.txt</t>
    <phoneticPr fontId="18"/>
  </si>
  <si>
    <t>community_13.txt</t>
    <phoneticPr fontId="18"/>
  </si>
  <si>
    <t>community_17.txt</t>
    <phoneticPr fontId="18"/>
  </si>
  <si>
    <t>community_24.txt</t>
    <phoneticPr fontId="18"/>
  </si>
  <si>
    <t>community_26.txt</t>
    <phoneticPr fontId="18"/>
  </si>
  <si>
    <t>community_27.txt</t>
    <phoneticPr fontId="18"/>
  </si>
  <si>
    <t>community_29.txt</t>
    <phoneticPr fontId="18"/>
  </si>
  <si>
    <t>community_30.txt</t>
    <phoneticPr fontId="18"/>
  </si>
  <si>
    <t>community_34.txt</t>
    <phoneticPr fontId="18"/>
  </si>
  <si>
    <t>community_36.txt</t>
    <phoneticPr fontId="18"/>
  </si>
  <si>
    <t>community_42.txt</t>
    <phoneticPr fontId="18"/>
  </si>
  <si>
    <t>community_5.txt</t>
    <phoneticPr fontId="18"/>
  </si>
  <si>
    <t>community_19.txt</t>
    <phoneticPr fontId="18"/>
  </si>
  <si>
    <t>community_32.txt</t>
    <phoneticPr fontId="18"/>
  </si>
  <si>
    <t>community_38.txt</t>
    <phoneticPr fontId="18"/>
  </si>
  <si>
    <t>community_41.txt</t>
    <phoneticPr fontId="18"/>
  </si>
  <si>
    <t>差</t>
    <rPh sb="0" eb="1">
      <t xml:space="preserve">サ </t>
    </rPh>
    <phoneticPr fontId="18"/>
  </si>
  <si>
    <t>2位/1位 比率と3位/1位 比率との差</t>
  </si>
  <si>
    <t>10％-20%</t>
  </si>
  <si>
    <t>10％-20%</t>
    <rPh sb="2" eb="3">
      <t>％</t>
    </rPh>
    <phoneticPr fontId="18"/>
  </si>
  <si>
    <t>20%-30%</t>
  </si>
  <si>
    <t>20%-30%</t>
    <phoneticPr fontId="18"/>
  </si>
  <si>
    <t>30%-40%</t>
  </si>
  <si>
    <t>30%-40%</t>
    <phoneticPr fontId="18"/>
  </si>
  <si>
    <t>40%-50%</t>
  </si>
  <si>
    <t>40%-50%</t>
    <phoneticPr fontId="18"/>
  </si>
  <si>
    <t>50%以上</t>
  </si>
  <si>
    <t>50%以上</t>
    <rPh sb="3" eb="5">
      <t>イジョウ</t>
    </rPh>
    <phoneticPr fontId="18"/>
  </si>
  <si>
    <t>50％以上90％未満</t>
  </si>
  <si>
    <t>50％以上90％未満</t>
    <rPh sb="8" eb="10">
      <t>ミマn</t>
    </rPh>
    <phoneticPr fontId="18"/>
  </si>
  <si>
    <t>10％未満</t>
  </si>
  <si>
    <t>10％未満</t>
    <rPh sb="3" eb="5">
      <t>ミマn</t>
    </rPh>
    <phoneticPr fontId="18"/>
  </si>
  <si>
    <t>max</t>
  </si>
  <si>
    <t>max</t>
    <phoneticPr fontId="18"/>
  </si>
  <si>
    <t>mini</t>
  </si>
  <si>
    <t>mini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</si>
</sst>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0"/>
  </numFmts>
  <fonts count="25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70C0"/>
      <name val="游ゴシック"/>
      <family val="2"/>
      <charset val="128"/>
      <scheme val="minor"/>
    </font>
    <font>
      <sz val="12"/>
      <color rgb="FF00B0F0"/>
      <name val="游ゴシック"/>
      <family val="2"/>
      <charset val="128"/>
      <scheme val="minor"/>
    </font>
    <font>
      <sz val="12"/>
      <color theme="7"/>
      <name val="游ゴシック"/>
      <family val="2"/>
      <charset val="128"/>
      <scheme val="minor"/>
    </font>
    <font>
      <sz val="12"/>
      <color rgb="FF00B050"/>
      <name val="游ゴシック"/>
      <family val="2"/>
      <charset val="128"/>
      <scheme val="minor"/>
    </font>
    <font>
      <sz val="12"/>
      <color theme="5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4" fillId="0" borderId="0" xfId="0" applyFont="1">
      <alignment vertical="center"/>
    </xf>
    <xf numFmtId="0" fontId="0" fillId="0" borderId="0" xfId="0" applyProtection="1">
      <alignment vertical="center"/>
      <protection locked="0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186" fontId="0" fillId="0" borderId="0" xfId="0" applyNumberFormat="1">
      <alignment vertical="center"/>
    </xf>
    <xf numFmtId="10" fontId="14" fillId="0" borderId="0" xfId="0" applyNumberFormat="1" applyFont="1">
      <alignment vertical="center"/>
    </xf>
    <xf numFmtId="10" fontId="20" fillId="0" borderId="0" xfId="0" applyNumberFormat="1" applyFont="1">
      <alignment vertical="center"/>
    </xf>
    <xf numFmtId="10" fontId="23" fillId="0" borderId="0" xfId="0" applyNumberFormat="1" applyFont="1">
      <alignment vertical="center"/>
    </xf>
    <xf numFmtId="10" fontId="14" fillId="0" borderId="0" xfId="1" applyNumberFormat="1" applyFont="1">
      <alignment vertical="center"/>
    </xf>
    <xf numFmtId="10" fontId="20" fillId="0" borderId="0" xfId="1" applyNumberFormat="1" applyFont="1">
      <alignment vertical="center"/>
    </xf>
    <xf numFmtId="10" fontId="19" fillId="0" borderId="0" xfId="0" applyNumberFormat="1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10" fontId="24" fillId="0" borderId="0" xfId="0" applyNumberFormat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1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F196-B01B-8244-8A8D-97B002E3FA1E}">
  <dimension ref="A1:AF48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RowHeight="20"/>
  <cols>
    <col min="1" max="1" width="15.7109375" customWidth="1"/>
    <col min="5" max="5" width="18.5703125" customWidth="1"/>
    <col min="13" max="13" width="11.28515625" style="5" customWidth="1"/>
    <col min="14" max="14" width="10.7109375" style="3"/>
    <col min="16" max="16" width="12" customWidth="1"/>
    <col min="17" max="17" width="17.7109375" customWidth="1"/>
    <col min="19" max="19" width="14.85546875" customWidth="1"/>
    <col min="21" max="21" width="16.85546875" customWidth="1"/>
  </cols>
  <sheetData>
    <row r="1" spans="1:32" s="2" customFormat="1">
      <c r="A1" s="2" t="s">
        <v>0</v>
      </c>
      <c r="B1" s="2" t="s">
        <v>1</v>
      </c>
      <c r="C1" s="2" t="s">
        <v>2</v>
      </c>
      <c r="D1" s="2" t="s">
        <v>31</v>
      </c>
      <c r="E1" s="2" t="s">
        <v>29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5" t="s">
        <v>44</v>
      </c>
      <c r="N1" s="5" t="s">
        <v>45</v>
      </c>
      <c r="O1" s="2" t="s">
        <v>96</v>
      </c>
    </row>
    <row r="2" spans="1:32">
      <c r="A2" t="s">
        <v>55</v>
      </c>
      <c r="B2">
        <v>179</v>
      </c>
      <c r="C2">
        <v>2797</v>
      </c>
      <c r="D2">
        <v>8.7785000000000002E-2</v>
      </c>
      <c r="E2">
        <v>0.37691200000000002</v>
      </c>
      <c r="F2" s="8">
        <v>3.7389999999999999</v>
      </c>
      <c r="G2">
        <v>14454247</v>
      </c>
      <c r="H2">
        <v>4.6376000000000001E-2</v>
      </c>
      <c r="I2">
        <v>23053505</v>
      </c>
      <c r="J2">
        <v>4.0384000000000003E-2</v>
      </c>
      <c r="K2">
        <v>18218654</v>
      </c>
      <c r="L2">
        <v>1.9205E-2</v>
      </c>
      <c r="M2" s="5">
        <v>0.871</v>
      </c>
      <c r="N2" s="5">
        <v>0.41399999999999998</v>
      </c>
      <c r="O2" s="12">
        <f>M2-N2</f>
        <v>0.45700000000000002</v>
      </c>
    </row>
    <row r="3" spans="1:32">
      <c r="A3" t="s">
        <v>74</v>
      </c>
      <c r="B3">
        <v>238</v>
      </c>
      <c r="C3">
        <v>4232</v>
      </c>
      <c r="D3">
        <v>7.5026999999999996E-2</v>
      </c>
      <c r="E3">
        <v>0.52707800000000005</v>
      </c>
      <c r="F3">
        <v>4.3926999999999996</v>
      </c>
      <c r="G3">
        <v>14389031</v>
      </c>
      <c r="H3">
        <v>2.1294E-2</v>
      </c>
      <c r="I3">
        <v>10202</v>
      </c>
      <c r="J3">
        <v>1.6232E-2</v>
      </c>
      <c r="K3">
        <v>15131310</v>
      </c>
      <c r="L3">
        <v>1.5716000000000001E-2</v>
      </c>
      <c r="M3" s="5">
        <v>0.76200000000000001</v>
      </c>
      <c r="N3" s="5">
        <v>0.73799999999999999</v>
      </c>
      <c r="O3" s="3">
        <f>M3-N3</f>
        <v>2.4000000000000021E-2</v>
      </c>
    </row>
    <row r="4" spans="1:32">
      <c r="A4" t="s">
        <v>75</v>
      </c>
      <c r="B4">
        <v>97</v>
      </c>
      <c r="C4">
        <v>2009</v>
      </c>
      <c r="D4">
        <v>0.21574299999999999</v>
      </c>
      <c r="E4">
        <v>0.52776500000000004</v>
      </c>
      <c r="F4">
        <v>1.633</v>
      </c>
      <c r="G4">
        <v>18776605</v>
      </c>
      <c r="H4">
        <v>4.4743999999999999E-2</v>
      </c>
      <c r="I4">
        <v>22412376</v>
      </c>
      <c r="J4">
        <v>3.6110999999999997E-2</v>
      </c>
      <c r="K4">
        <v>19388771</v>
      </c>
      <c r="L4">
        <v>3.3578999999999998E-2</v>
      </c>
      <c r="M4" s="5">
        <v>0.80700000000000005</v>
      </c>
      <c r="N4" s="5">
        <v>0.75</v>
      </c>
      <c r="O4" s="3">
        <f>M4-N4</f>
        <v>5.7000000000000051E-2</v>
      </c>
    </row>
    <row r="5" spans="1:32">
      <c r="A5" t="s">
        <v>76</v>
      </c>
      <c r="B5">
        <v>450</v>
      </c>
      <c r="C5">
        <v>17247</v>
      </c>
      <c r="D5">
        <v>8.5360000000000005E-2</v>
      </c>
      <c r="E5">
        <v>0.52607300000000001</v>
      </c>
      <c r="F5">
        <v>3.7210000000000001</v>
      </c>
      <c r="G5">
        <v>27696993</v>
      </c>
      <c r="H5">
        <v>1.1513000000000001E-2</v>
      </c>
      <c r="I5">
        <v>20778387</v>
      </c>
      <c r="J5">
        <v>1.0289E-2</v>
      </c>
      <c r="K5">
        <v>37291805</v>
      </c>
      <c r="L5">
        <v>1.004E-2</v>
      </c>
      <c r="M5" s="5">
        <v>0.89400000000000002</v>
      </c>
      <c r="N5" s="5">
        <v>0.872</v>
      </c>
      <c r="O5" s="3">
        <f>M5-N5</f>
        <v>2.200000000000002E-2</v>
      </c>
      <c r="P5" t="s">
        <v>29</v>
      </c>
      <c r="S5" t="s">
        <v>47</v>
      </c>
    </row>
    <row r="6" spans="1:32">
      <c r="A6" t="s">
        <v>72</v>
      </c>
      <c r="B6">
        <v>308</v>
      </c>
      <c r="C6">
        <v>2982</v>
      </c>
      <c r="D6">
        <v>3.1537000000000003E-2</v>
      </c>
      <c r="E6">
        <v>0.44417600000000002</v>
      </c>
      <c r="F6">
        <v>7.8335999999999997</v>
      </c>
      <c r="G6">
        <v>122216533</v>
      </c>
      <c r="H6">
        <v>2.3496E-2</v>
      </c>
      <c r="I6">
        <v>53144764</v>
      </c>
      <c r="J6">
        <v>2.3127000000000002E-2</v>
      </c>
      <c r="K6">
        <v>21024748</v>
      </c>
      <c r="L6">
        <v>2.0565E-2</v>
      </c>
      <c r="M6" s="5">
        <v>0.98399999999999999</v>
      </c>
      <c r="N6" s="5">
        <v>0.875</v>
      </c>
      <c r="O6" s="3">
        <f>M6-N6</f>
        <v>0.10899999999999999</v>
      </c>
      <c r="P6" t="s">
        <v>33</v>
      </c>
      <c r="Q6">
        <f>MAX(E2:E48)</f>
        <v>0.67775200000000002</v>
      </c>
      <c r="S6" t="s">
        <v>50</v>
      </c>
      <c r="U6" t="s">
        <v>52</v>
      </c>
    </row>
    <row r="7" spans="1:32">
      <c r="A7" t="s">
        <v>91</v>
      </c>
      <c r="B7">
        <v>74</v>
      </c>
      <c r="C7">
        <v>908</v>
      </c>
      <c r="D7">
        <v>0.16808600000000001</v>
      </c>
      <c r="E7">
        <v>0.57984599999999997</v>
      </c>
      <c r="F7" s="6">
        <v>1.3007</v>
      </c>
      <c r="G7">
        <v>319459265</v>
      </c>
      <c r="H7">
        <v>6.5329999999999999E-2</v>
      </c>
      <c r="I7">
        <v>15150826</v>
      </c>
      <c r="J7">
        <v>2.9294000000000001E-2</v>
      </c>
      <c r="K7">
        <v>107237609</v>
      </c>
      <c r="L7">
        <v>2.6412999999999999E-2</v>
      </c>
      <c r="M7" s="5">
        <v>0.44800000000000001</v>
      </c>
      <c r="N7" s="5">
        <v>0.40400000000000003</v>
      </c>
      <c r="O7" s="3">
        <f>M7-N7</f>
        <v>4.3999999999999984E-2</v>
      </c>
      <c r="P7" t="s">
        <v>35</v>
      </c>
      <c r="Q7">
        <f>MIN(E2:E48)</f>
        <v>0.33759899999999998</v>
      </c>
      <c r="S7" t="s">
        <v>48</v>
      </c>
      <c r="T7">
        <f>COUNTIF(M2:M48, "&gt;= 90%")</f>
        <v>17</v>
      </c>
      <c r="U7" t="s">
        <v>48</v>
      </c>
      <c r="V7">
        <f>COUNTIF(N2:N48, "&gt;= 90%")</f>
        <v>2</v>
      </c>
    </row>
    <row r="8" spans="1:32">
      <c r="A8" t="s">
        <v>56</v>
      </c>
      <c r="B8">
        <v>1587</v>
      </c>
      <c r="C8">
        <v>62992</v>
      </c>
      <c r="D8">
        <v>2.5027000000000001E-2</v>
      </c>
      <c r="E8">
        <v>0.47549400000000003</v>
      </c>
      <c r="F8">
        <v>11.406499999999999</v>
      </c>
      <c r="G8">
        <v>48485771</v>
      </c>
      <c r="H8">
        <v>5.7549999999999997E-3</v>
      </c>
      <c r="I8">
        <v>15853668</v>
      </c>
      <c r="J8">
        <v>5.751E-3</v>
      </c>
      <c r="K8">
        <v>19040580</v>
      </c>
      <c r="L8">
        <v>5.5979999999999997E-3</v>
      </c>
      <c r="M8" s="13">
        <v>0.999</v>
      </c>
      <c r="N8" s="13">
        <v>0.97299999999999998</v>
      </c>
      <c r="O8" s="3">
        <f>M8-N8</f>
        <v>2.6000000000000023E-2</v>
      </c>
      <c r="P8" t="s">
        <v>37</v>
      </c>
      <c r="Q8">
        <f>AVERAGE(E2:E48)</f>
        <v>0.50428063829787217</v>
      </c>
      <c r="S8" t="s">
        <v>109</v>
      </c>
      <c r="T8" s="4">
        <f>COUNTIFS(M2:M48, "&gt;= 50%", M2:M48, "&lt; 90%")</f>
        <v>24</v>
      </c>
      <c r="U8" t="s">
        <v>109</v>
      </c>
      <c r="V8" s="4">
        <f>COUNTIFS(N2:N48, "&gt;= 50%", N2:N48, "&lt; 90%")</f>
        <v>34</v>
      </c>
      <c r="AD8" s="4"/>
      <c r="AF8" s="4"/>
    </row>
    <row r="9" spans="1:32">
      <c r="A9" t="s">
        <v>73</v>
      </c>
      <c r="B9">
        <v>175</v>
      </c>
      <c r="C9">
        <v>7526</v>
      </c>
      <c r="D9">
        <v>0.24715899999999999</v>
      </c>
      <c r="E9">
        <v>0.53141099999999997</v>
      </c>
      <c r="F9" s="6">
        <v>1.4007000000000001</v>
      </c>
      <c r="G9">
        <v>31127446</v>
      </c>
      <c r="H9">
        <v>2.1666000000000001E-2</v>
      </c>
      <c r="I9">
        <v>17134268</v>
      </c>
      <c r="J9">
        <v>2.0375000000000001E-2</v>
      </c>
      <c r="K9">
        <v>24362769</v>
      </c>
      <c r="L9">
        <v>1.7323999999999999E-2</v>
      </c>
      <c r="M9" s="5">
        <v>0.94</v>
      </c>
      <c r="N9" s="5">
        <v>0.8</v>
      </c>
      <c r="O9" s="3">
        <f>M9-N9</f>
        <v>0.1399999999999999</v>
      </c>
      <c r="P9" t="s">
        <v>42</v>
      </c>
      <c r="Q9">
        <f>MEDIAN(E2:E48)</f>
        <v>0.50595699999999999</v>
      </c>
      <c r="S9" t="s">
        <v>49</v>
      </c>
      <c r="T9">
        <f>COUNTIF(M2:M48, "&lt; 50%")</f>
        <v>6</v>
      </c>
      <c r="U9" t="s">
        <v>49</v>
      </c>
      <c r="V9">
        <f>COUNTIF(N2:N48, "&lt; 50%")</f>
        <v>11</v>
      </c>
    </row>
    <row r="10" spans="1:32">
      <c r="A10" t="s">
        <v>77</v>
      </c>
      <c r="B10">
        <v>96</v>
      </c>
      <c r="C10">
        <v>1635</v>
      </c>
      <c r="D10">
        <v>0.17927599999999999</v>
      </c>
      <c r="E10">
        <v>0.56118699999999999</v>
      </c>
      <c r="F10">
        <v>2.0912999999999999</v>
      </c>
      <c r="G10">
        <v>120178497</v>
      </c>
      <c r="H10">
        <v>3.8008E-2</v>
      </c>
      <c r="I10">
        <v>51999405</v>
      </c>
      <c r="J10">
        <v>3.2743000000000001E-2</v>
      </c>
      <c r="K10">
        <v>140741639</v>
      </c>
      <c r="L10">
        <v>3.2187E-2</v>
      </c>
      <c r="M10" s="5">
        <v>0.86099999999999999</v>
      </c>
      <c r="N10" s="5">
        <v>0.84699999999999998</v>
      </c>
      <c r="O10" s="3">
        <f>M10-N10</f>
        <v>1.4000000000000012E-2</v>
      </c>
    </row>
    <row r="11" spans="1:32">
      <c r="A11" t="s">
        <v>10</v>
      </c>
      <c r="B11">
        <v>257</v>
      </c>
      <c r="C11">
        <v>8763</v>
      </c>
      <c r="D11">
        <v>0.133192</v>
      </c>
      <c r="E11">
        <v>0.49034100000000003</v>
      </c>
      <c r="F11" s="9">
        <v>2.1465999999999998</v>
      </c>
      <c r="G11">
        <v>428333</v>
      </c>
      <c r="H11">
        <v>2.3303000000000001E-2</v>
      </c>
      <c r="I11">
        <v>71294756</v>
      </c>
      <c r="J11">
        <v>2.3095999999999998E-2</v>
      </c>
      <c r="K11">
        <v>759251</v>
      </c>
      <c r="L11">
        <v>1.823E-2</v>
      </c>
      <c r="M11" s="13">
        <v>0.99099999999999999</v>
      </c>
      <c r="N11" s="5">
        <v>0.78200000000000003</v>
      </c>
      <c r="O11" s="3">
        <f>M11-N11</f>
        <v>0.20899999999999996</v>
      </c>
      <c r="T11">
        <f>SUM(T7:T9)</f>
        <v>47</v>
      </c>
      <c r="V11">
        <f>SUM(V7:V9)</f>
        <v>47</v>
      </c>
    </row>
    <row r="12" spans="1:32">
      <c r="A12" t="s">
        <v>78</v>
      </c>
      <c r="B12">
        <v>99</v>
      </c>
      <c r="C12">
        <v>1441</v>
      </c>
      <c r="D12">
        <v>0.14852599999999999</v>
      </c>
      <c r="E12">
        <v>0.669987</v>
      </c>
      <c r="F12">
        <v>3.4247000000000001</v>
      </c>
      <c r="G12">
        <v>134735765</v>
      </c>
      <c r="H12">
        <v>4.6022E-2</v>
      </c>
      <c r="I12">
        <v>17454341</v>
      </c>
      <c r="J12">
        <v>4.0542000000000002E-2</v>
      </c>
      <c r="K12">
        <v>18611950</v>
      </c>
      <c r="L12">
        <v>3.841E-2</v>
      </c>
      <c r="M12" s="5">
        <v>0.88100000000000001</v>
      </c>
      <c r="N12" s="5">
        <v>0.83499999999999996</v>
      </c>
      <c r="O12" s="3">
        <f>M12-N12</f>
        <v>4.6000000000000041E-2</v>
      </c>
      <c r="P12" t="s">
        <v>31</v>
      </c>
    </row>
    <row r="13" spans="1:32">
      <c r="A13" t="s">
        <v>79</v>
      </c>
      <c r="B13">
        <v>128</v>
      </c>
      <c r="C13">
        <v>1921</v>
      </c>
      <c r="D13">
        <v>0.118172</v>
      </c>
      <c r="E13">
        <v>0.46023399999999998</v>
      </c>
      <c r="F13">
        <v>2.1743000000000001</v>
      </c>
      <c r="G13">
        <v>48459607</v>
      </c>
      <c r="H13">
        <v>3.5027999999999997E-2</v>
      </c>
      <c r="I13">
        <v>23440052</v>
      </c>
      <c r="J13">
        <v>2.6981999999999999E-2</v>
      </c>
      <c r="K13">
        <v>116757352</v>
      </c>
      <c r="L13">
        <v>2.3963999999999999E-2</v>
      </c>
      <c r="M13" s="5">
        <v>0.77</v>
      </c>
      <c r="N13" s="5">
        <v>0.68400000000000005</v>
      </c>
      <c r="O13" s="3">
        <f>M13-N13</f>
        <v>8.5999999999999965E-2</v>
      </c>
      <c r="P13" t="s">
        <v>33</v>
      </c>
      <c r="Q13">
        <f>MAX(D2:D48)</f>
        <v>0.45566499999999999</v>
      </c>
      <c r="S13" t="s">
        <v>97</v>
      </c>
    </row>
    <row r="14" spans="1:32">
      <c r="A14" t="s">
        <v>80</v>
      </c>
      <c r="B14">
        <v>255</v>
      </c>
      <c r="C14">
        <v>6240</v>
      </c>
      <c r="D14">
        <v>9.6340999999999996E-2</v>
      </c>
      <c r="E14">
        <v>0.50727</v>
      </c>
      <c r="F14">
        <v>3.0005000000000002</v>
      </c>
      <c r="G14">
        <v>15924858</v>
      </c>
      <c r="H14">
        <v>3.1420999999999998E-2</v>
      </c>
      <c r="I14">
        <v>47787563</v>
      </c>
      <c r="J14">
        <v>2.7483E-2</v>
      </c>
      <c r="K14">
        <v>47785747</v>
      </c>
      <c r="L14">
        <v>2.0375000000000001E-2</v>
      </c>
      <c r="M14" s="5">
        <v>0.875</v>
      </c>
      <c r="N14" s="5">
        <v>0.64800000000000002</v>
      </c>
      <c r="O14" s="3">
        <f>M14-N14</f>
        <v>0.22699999999999998</v>
      </c>
      <c r="P14" t="s">
        <v>35</v>
      </c>
      <c r="Q14">
        <f>MIN(D2:D48)</f>
        <v>8.9090000000000003E-3</v>
      </c>
      <c r="S14" t="s">
        <v>111</v>
      </c>
      <c r="T14">
        <f>COUNTIF(O2:O48, "&lt; 10%")</f>
        <v>28</v>
      </c>
      <c r="U14" t="s">
        <v>113</v>
      </c>
      <c r="V14" s="3">
        <f>MAX(O2:O48)</f>
        <v>0.60799999999999998</v>
      </c>
      <c r="AF14" s="3"/>
    </row>
    <row r="15" spans="1:32">
      <c r="A15" t="s">
        <v>81</v>
      </c>
      <c r="B15">
        <v>1701</v>
      </c>
      <c r="C15">
        <v>62123</v>
      </c>
      <c r="D15">
        <v>2.1482999999999999E-2</v>
      </c>
      <c r="E15">
        <v>0.413746</v>
      </c>
      <c r="F15" s="16">
        <v>12.2277</v>
      </c>
      <c r="G15">
        <v>40981798</v>
      </c>
      <c r="H15">
        <v>1.2980999999999999E-2</v>
      </c>
      <c r="I15">
        <v>21111883</v>
      </c>
      <c r="J15">
        <v>7.8239999999999994E-3</v>
      </c>
      <c r="K15">
        <v>14230524</v>
      </c>
      <c r="L15">
        <v>7.7990000000000004E-3</v>
      </c>
      <c r="M15" s="5">
        <v>0.60299999999999998</v>
      </c>
      <c r="N15" s="5">
        <v>0.60099999999999998</v>
      </c>
      <c r="O15" s="11">
        <f>M15-N15</f>
        <v>2.0000000000000018E-3</v>
      </c>
      <c r="P15" t="s">
        <v>38</v>
      </c>
      <c r="Q15">
        <f>AVERAGE(D2:D48)</f>
        <v>0.10873387234042553</v>
      </c>
      <c r="S15" t="s">
        <v>99</v>
      </c>
      <c r="T15">
        <f>COUNTIFS(O2:O48, "&gt;= 10%", O2:O48, "&lt; 20%")</f>
        <v>12</v>
      </c>
      <c r="U15" t="s">
        <v>115</v>
      </c>
      <c r="V15" s="3">
        <f>MIN(O2:O48)</f>
        <v>2.0000000000000018E-3</v>
      </c>
      <c r="AF15" s="3"/>
    </row>
    <row r="16" spans="1:32">
      <c r="A16" t="s">
        <v>11</v>
      </c>
      <c r="B16">
        <v>326</v>
      </c>
      <c r="C16">
        <v>8765</v>
      </c>
      <c r="D16">
        <v>8.2727999999999996E-2</v>
      </c>
      <c r="E16">
        <v>0.60762499999999997</v>
      </c>
      <c r="F16">
        <v>4.1631999999999998</v>
      </c>
      <c r="G16">
        <v>14685759</v>
      </c>
      <c r="H16">
        <v>1.1594E-2</v>
      </c>
      <c r="I16">
        <v>22275457</v>
      </c>
      <c r="J16">
        <v>1.0567E-2</v>
      </c>
      <c r="K16">
        <v>43366650</v>
      </c>
      <c r="L16">
        <v>1.0024999999999999E-2</v>
      </c>
      <c r="M16" s="5">
        <v>0.91100000000000003</v>
      </c>
      <c r="N16" s="5">
        <v>0.86499999999999999</v>
      </c>
      <c r="O16" s="3">
        <f>M16-N16</f>
        <v>4.6000000000000041E-2</v>
      </c>
      <c r="P16" t="s">
        <v>42</v>
      </c>
      <c r="Q16">
        <f>MEDIAN(D2:D48)</f>
        <v>8.7785000000000002E-2</v>
      </c>
      <c r="S16" t="s">
        <v>101</v>
      </c>
      <c r="T16">
        <f>COUNTIFS(O2:O48, "&gt;= 20%", O2:O48, "&lt; 30%")</f>
        <v>4</v>
      </c>
    </row>
    <row r="17" spans="1:20">
      <c r="A17" t="s">
        <v>12</v>
      </c>
      <c r="B17">
        <v>673</v>
      </c>
      <c r="C17">
        <v>20474</v>
      </c>
      <c r="D17">
        <v>4.5270999999999999E-2</v>
      </c>
      <c r="E17">
        <v>0.47787400000000002</v>
      </c>
      <c r="F17">
        <v>6.5654000000000003</v>
      </c>
      <c r="G17">
        <v>36735522</v>
      </c>
      <c r="H17">
        <v>8.3359999999999997E-3</v>
      </c>
      <c r="I17">
        <v>9212052</v>
      </c>
      <c r="J17">
        <v>7.7159999999999998E-3</v>
      </c>
      <c r="K17">
        <v>2779821</v>
      </c>
      <c r="L17">
        <v>7.1269999999999997E-3</v>
      </c>
      <c r="M17" s="5">
        <v>0.92600000000000005</v>
      </c>
      <c r="N17" s="5">
        <v>0.85499999999999998</v>
      </c>
      <c r="O17" s="3">
        <f>M17-N17</f>
        <v>7.1000000000000063E-2</v>
      </c>
      <c r="S17" t="s">
        <v>103</v>
      </c>
      <c r="T17">
        <f>COUNTIFS(O2:O48, "&gt;= 30%", O2:O48, "&lt; 40%")</f>
        <v>1</v>
      </c>
    </row>
    <row r="18" spans="1:20">
      <c r="A18" t="s">
        <v>13</v>
      </c>
      <c r="B18">
        <v>199</v>
      </c>
      <c r="C18">
        <v>4185</v>
      </c>
      <c r="D18">
        <v>0.106213</v>
      </c>
      <c r="E18">
        <v>0.48334300000000002</v>
      </c>
      <c r="F18">
        <v>3.3841999999999999</v>
      </c>
      <c r="G18">
        <v>25520396</v>
      </c>
      <c r="H18">
        <v>2.6012E-2</v>
      </c>
      <c r="I18">
        <v>305085584</v>
      </c>
      <c r="J18">
        <v>2.563E-2</v>
      </c>
      <c r="K18">
        <v>16089734</v>
      </c>
      <c r="L18">
        <v>2.3345999999999999E-2</v>
      </c>
      <c r="M18" s="5">
        <v>0.98499999999999999</v>
      </c>
      <c r="N18" s="5">
        <v>0.89700000000000002</v>
      </c>
      <c r="O18" s="3">
        <f>M18-N18</f>
        <v>8.7999999999999967E-2</v>
      </c>
      <c r="S18" t="s">
        <v>105</v>
      </c>
      <c r="T18">
        <f>COUNTIFS(O2:O48, "&gt;= 40%", O2:O48, "&lt; 50%")</f>
        <v>1</v>
      </c>
    </row>
    <row r="19" spans="1:20">
      <c r="A19" t="s">
        <v>82</v>
      </c>
      <c r="B19">
        <v>330</v>
      </c>
      <c r="C19">
        <v>7526</v>
      </c>
      <c r="D19">
        <v>6.9319000000000006E-2</v>
      </c>
      <c r="E19">
        <v>0.45452599999999999</v>
      </c>
      <c r="F19">
        <v>4.2803000000000004</v>
      </c>
      <c r="G19">
        <v>19224439</v>
      </c>
      <c r="H19">
        <v>1.6501999999999999E-2</v>
      </c>
      <c r="I19">
        <v>14224719</v>
      </c>
      <c r="J19">
        <v>1.3901E-2</v>
      </c>
      <c r="K19">
        <v>8170292</v>
      </c>
      <c r="L19">
        <v>1.1398E-2</v>
      </c>
      <c r="M19" s="5">
        <v>0.84199999999999997</v>
      </c>
      <c r="N19" s="5">
        <v>0.69099999999999995</v>
      </c>
      <c r="O19" s="3">
        <f>M19-N19</f>
        <v>0.15100000000000002</v>
      </c>
      <c r="S19" t="s">
        <v>107</v>
      </c>
      <c r="T19">
        <f>COUNTIFS(O2:O48, "&gt;= 50%")</f>
        <v>1</v>
      </c>
    </row>
    <row r="20" spans="1:20">
      <c r="A20" t="s">
        <v>14</v>
      </c>
      <c r="B20">
        <v>68</v>
      </c>
      <c r="C20">
        <v>1470</v>
      </c>
      <c r="D20">
        <v>0.32265100000000002</v>
      </c>
      <c r="E20">
        <v>0.61987400000000004</v>
      </c>
      <c r="F20" s="6">
        <v>1.3168</v>
      </c>
      <c r="G20">
        <v>21663950</v>
      </c>
      <c r="H20">
        <v>4.0024999999999998E-2</v>
      </c>
      <c r="I20">
        <v>28609947</v>
      </c>
      <c r="J20">
        <v>3.9100999999999997E-2</v>
      </c>
      <c r="K20">
        <v>16908562</v>
      </c>
      <c r="L20">
        <v>3.4934E-2</v>
      </c>
      <c r="M20" s="5">
        <v>0.97699999999999998</v>
      </c>
      <c r="N20" s="5">
        <v>0.873</v>
      </c>
      <c r="O20" s="3">
        <f>M20-N20</f>
        <v>0.10399999999999998</v>
      </c>
      <c r="P20" t="s">
        <v>40</v>
      </c>
    </row>
    <row r="21" spans="1:20">
      <c r="A21" t="s">
        <v>92</v>
      </c>
      <c r="B21">
        <v>89</v>
      </c>
      <c r="C21">
        <v>441</v>
      </c>
      <c r="D21">
        <v>5.6307000000000003E-2</v>
      </c>
      <c r="E21">
        <v>0.48561199999999999</v>
      </c>
      <c r="F21">
        <v>9.9779999999999998</v>
      </c>
      <c r="G21">
        <v>21891867</v>
      </c>
      <c r="H21">
        <v>0.12539700000000001</v>
      </c>
      <c r="I21">
        <v>6398252</v>
      </c>
      <c r="J21">
        <v>3.5515999999999999E-2</v>
      </c>
      <c r="K21">
        <v>48935222</v>
      </c>
      <c r="L21">
        <v>3.4992000000000002E-2</v>
      </c>
      <c r="M21" s="14">
        <v>0.28299999999999997</v>
      </c>
      <c r="N21" s="14">
        <v>0.27900000000000003</v>
      </c>
      <c r="O21" s="15">
        <f>M21-N21</f>
        <v>3.999999999999948E-3</v>
      </c>
      <c r="P21" t="s">
        <v>33</v>
      </c>
      <c r="Q21">
        <f>MAX(F2:F48)</f>
        <v>31.206</v>
      </c>
    </row>
    <row r="22" spans="1:20">
      <c r="A22" t="s">
        <v>53</v>
      </c>
      <c r="B22">
        <v>2425</v>
      </c>
      <c r="C22">
        <v>52369</v>
      </c>
      <c r="D22">
        <v>8.9090000000000003E-3</v>
      </c>
      <c r="E22">
        <v>0.41524699999999998</v>
      </c>
      <c r="F22" s="1">
        <v>31.206</v>
      </c>
      <c r="G22">
        <v>115485051</v>
      </c>
      <c r="H22">
        <v>3.0367000000000002E-2</v>
      </c>
      <c r="I22">
        <v>116485573</v>
      </c>
      <c r="J22">
        <v>2.6100000000000002E-2</v>
      </c>
      <c r="K22">
        <v>813286</v>
      </c>
      <c r="L22">
        <v>7.6319999999999999E-3</v>
      </c>
      <c r="M22" s="5">
        <v>0.85899999999999999</v>
      </c>
      <c r="N22" s="14">
        <v>0.251</v>
      </c>
      <c r="O22" s="10">
        <f>M22-N22</f>
        <v>0.60799999999999998</v>
      </c>
      <c r="P22" t="s">
        <v>35</v>
      </c>
      <c r="Q22">
        <f>MIN(F2:F48)</f>
        <v>1.1157999999999999</v>
      </c>
    </row>
    <row r="23" spans="1:20">
      <c r="A23" t="s">
        <v>15</v>
      </c>
      <c r="B23">
        <v>179</v>
      </c>
      <c r="C23">
        <v>3441</v>
      </c>
      <c r="D23">
        <v>0.107997</v>
      </c>
      <c r="E23">
        <v>0.47573500000000002</v>
      </c>
      <c r="F23">
        <v>3.4773999999999998</v>
      </c>
      <c r="G23">
        <v>26785513</v>
      </c>
      <c r="H23">
        <v>2.5146999999999999E-2</v>
      </c>
      <c r="I23">
        <v>29535333</v>
      </c>
      <c r="J23">
        <v>2.3595000000000001E-2</v>
      </c>
      <c r="K23">
        <v>15245975</v>
      </c>
      <c r="L23">
        <v>2.1913999999999999E-2</v>
      </c>
      <c r="M23" s="5">
        <v>0.93799999999999994</v>
      </c>
      <c r="N23" s="5">
        <v>0.871</v>
      </c>
      <c r="O23" s="3">
        <f>M23-N23</f>
        <v>6.6999999999999948E-2</v>
      </c>
      <c r="P23" t="s">
        <v>43</v>
      </c>
      <c r="Q23">
        <f>MEDIAN(F2:F48)</f>
        <v>3.7389999999999999</v>
      </c>
    </row>
    <row r="24" spans="1:20">
      <c r="A24" t="s">
        <v>16</v>
      </c>
      <c r="B24">
        <v>141</v>
      </c>
      <c r="C24">
        <v>1269</v>
      </c>
      <c r="D24">
        <v>6.4285999999999996E-2</v>
      </c>
      <c r="E24">
        <v>0.44382899999999997</v>
      </c>
      <c r="F24">
        <v>5.1384999999999996</v>
      </c>
      <c r="G24">
        <v>355009696</v>
      </c>
      <c r="H24">
        <v>3.4138000000000002E-2</v>
      </c>
      <c r="I24">
        <v>133651512</v>
      </c>
      <c r="J24">
        <v>3.2003999999999998E-2</v>
      </c>
      <c r="K24">
        <v>20461916</v>
      </c>
      <c r="L24">
        <v>2.6622E-2</v>
      </c>
      <c r="M24" s="5">
        <v>0.93700000000000006</v>
      </c>
      <c r="N24" s="5">
        <v>0.78</v>
      </c>
      <c r="O24" s="3">
        <f>M24-N24</f>
        <v>0.15700000000000003</v>
      </c>
      <c r="P24" t="s">
        <v>38</v>
      </c>
      <c r="Q24">
        <f>AVERAGE(F2:F48)</f>
        <v>5.6829829787234036</v>
      </c>
    </row>
    <row r="25" spans="1:20">
      <c r="A25" t="s">
        <v>17</v>
      </c>
      <c r="B25">
        <v>182</v>
      </c>
      <c r="C25">
        <v>6361</v>
      </c>
      <c r="D25">
        <v>0.19309699999999999</v>
      </c>
      <c r="E25">
        <v>0.45554099999999997</v>
      </c>
      <c r="F25" s="6">
        <v>1.5346</v>
      </c>
      <c r="G25">
        <v>7517222</v>
      </c>
      <c r="H25">
        <v>2.1441999999999999E-2</v>
      </c>
      <c r="I25">
        <v>15290441</v>
      </c>
      <c r="J25">
        <v>2.0382000000000001E-2</v>
      </c>
      <c r="K25">
        <v>44527648</v>
      </c>
      <c r="L25">
        <v>1.6641E-2</v>
      </c>
      <c r="M25" s="5">
        <v>0.95099999999999996</v>
      </c>
      <c r="N25" s="5">
        <v>0.77600000000000002</v>
      </c>
      <c r="O25" s="3">
        <f>M25-N25</f>
        <v>0.17499999999999993</v>
      </c>
    </row>
    <row r="26" spans="1:20">
      <c r="A26" t="s">
        <v>83</v>
      </c>
      <c r="B26">
        <v>115</v>
      </c>
      <c r="C26">
        <v>1490</v>
      </c>
      <c r="D26">
        <v>0.11365400000000001</v>
      </c>
      <c r="E26">
        <v>0.51769200000000004</v>
      </c>
      <c r="F26">
        <v>2.6612</v>
      </c>
      <c r="G26">
        <v>5380672</v>
      </c>
      <c r="H26">
        <v>3.6093E-2</v>
      </c>
      <c r="I26">
        <v>17681513</v>
      </c>
      <c r="J26">
        <v>2.9520999999999999E-2</v>
      </c>
      <c r="K26">
        <v>19960690</v>
      </c>
      <c r="L26">
        <v>2.2589000000000001E-2</v>
      </c>
      <c r="M26" s="5">
        <v>0.81799999999999995</v>
      </c>
      <c r="N26" s="5">
        <v>0.626</v>
      </c>
      <c r="O26" s="3">
        <f>M26-N26</f>
        <v>0.19199999999999995</v>
      </c>
      <c r="P26" t="s">
        <v>59</v>
      </c>
    </row>
    <row r="27" spans="1:20">
      <c r="A27" t="s">
        <v>18</v>
      </c>
      <c r="B27">
        <v>630</v>
      </c>
      <c r="C27">
        <v>18359</v>
      </c>
      <c r="D27">
        <v>4.6330000000000003E-2</v>
      </c>
      <c r="E27">
        <v>0.52421799999999996</v>
      </c>
      <c r="F27">
        <v>7.2309000000000001</v>
      </c>
      <c r="G27">
        <v>14505838</v>
      </c>
      <c r="H27">
        <v>1.5524E-2</v>
      </c>
      <c r="I27">
        <v>30313925</v>
      </c>
      <c r="J27">
        <v>1.401E-2</v>
      </c>
      <c r="K27">
        <v>16669075</v>
      </c>
      <c r="L27">
        <v>1.3146E-2</v>
      </c>
      <c r="M27" s="5">
        <v>0.90200000000000002</v>
      </c>
      <c r="N27" s="5">
        <v>0.84699999999999998</v>
      </c>
      <c r="O27" s="3">
        <f>M27-N27</f>
        <v>5.5000000000000049E-2</v>
      </c>
      <c r="P27" t="s">
        <v>63</v>
      </c>
      <c r="Q27">
        <f>COUNTIF(F2:F48, "&gt;= "&amp; Q24)</f>
        <v>15</v>
      </c>
    </row>
    <row r="28" spans="1:20">
      <c r="A28" t="s">
        <v>84</v>
      </c>
      <c r="B28">
        <v>158</v>
      </c>
      <c r="C28">
        <v>4949</v>
      </c>
      <c r="D28">
        <v>0.19950799999999999</v>
      </c>
      <c r="E28">
        <v>0.57237899999999997</v>
      </c>
      <c r="F28">
        <v>1.8953</v>
      </c>
      <c r="G28">
        <v>20437286</v>
      </c>
      <c r="H28">
        <v>3.0046E-2</v>
      </c>
      <c r="I28">
        <v>116324294</v>
      </c>
      <c r="J28">
        <v>2.1509E-2</v>
      </c>
      <c r="K28">
        <v>44873497</v>
      </c>
      <c r="L28">
        <v>2.1069000000000001E-2</v>
      </c>
      <c r="M28" s="5">
        <v>0.71599999999999997</v>
      </c>
      <c r="N28" s="5">
        <v>0.70099999999999996</v>
      </c>
      <c r="O28" s="3">
        <f>M28-N28</f>
        <v>1.5000000000000013E-2</v>
      </c>
      <c r="P28" t="s">
        <v>61</v>
      </c>
      <c r="Q28">
        <f>COUNTIF(F2:F48, "&lt;= " &amp; Q24)</f>
        <v>32</v>
      </c>
    </row>
    <row r="29" spans="1:20">
      <c r="A29" t="s">
        <v>85</v>
      </c>
      <c r="B29">
        <v>74</v>
      </c>
      <c r="C29">
        <v>846</v>
      </c>
      <c r="D29">
        <v>0.156609</v>
      </c>
      <c r="E29">
        <v>0.552207</v>
      </c>
      <c r="F29" s="9">
        <v>2.1413000000000002</v>
      </c>
      <c r="G29">
        <v>64396233</v>
      </c>
      <c r="H29">
        <v>5.4146E-2</v>
      </c>
      <c r="I29">
        <v>32127835</v>
      </c>
      <c r="J29">
        <v>4.1793999999999998E-2</v>
      </c>
      <c r="K29">
        <v>18458348</v>
      </c>
      <c r="L29">
        <v>3.8415999999999999E-2</v>
      </c>
      <c r="M29" s="5">
        <v>0.77200000000000002</v>
      </c>
      <c r="N29" s="5">
        <v>0.70899999999999996</v>
      </c>
      <c r="O29" s="3">
        <f>M29-N29</f>
        <v>6.3000000000000056E-2</v>
      </c>
    </row>
    <row r="30" spans="1:20">
      <c r="A30" t="s">
        <v>19</v>
      </c>
      <c r="B30">
        <v>88</v>
      </c>
      <c r="C30">
        <v>842</v>
      </c>
      <c r="D30">
        <v>0.10997899999999999</v>
      </c>
      <c r="E30">
        <v>0.451318</v>
      </c>
      <c r="F30">
        <v>3.6101999999999999</v>
      </c>
      <c r="G30">
        <v>229144775</v>
      </c>
      <c r="H30">
        <v>5.3425E-2</v>
      </c>
      <c r="I30">
        <v>159862441</v>
      </c>
      <c r="J30">
        <v>3.6041999999999998E-2</v>
      </c>
      <c r="K30">
        <v>285148979</v>
      </c>
      <c r="L30">
        <v>2.6557999999999998E-2</v>
      </c>
      <c r="M30" s="5">
        <v>0.67500000000000004</v>
      </c>
      <c r="N30" s="5">
        <v>0.497</v>
      </c>
      <c r="O30" s="3">
        <f>M30-N30</f>
        <v>0.17800000000000005</v>
      </c>
      <c r="P30" t="s">
        <v>65</v>
      </c>
    </row>
    <row r="31" spans="1:20">
      <c r="A31" t="s">
        <v>86</v>
      </c>
      <c r="B31">
        <v>107</v>
      </c>
      <c r="C31">
        <v>2272</v>
      </c>
      <c r="D31">
        <v>0.200317</v>
      </c>
      <c r="E31">
        <v>0.60704599999999997</v>
      </c>
      <c r="F31">
        <v>2.0817000000000001</v>
      </c>
      <c r="G31">
        <v>2691</v>
      </c>
      <c r="H31">
        <v>4.5100000000000001E-2</v>
      </c>
      <c r="I31">
        <v>2803191</v>
      </c>
      <c r="J31">
        <v>3.3619999999999997E-2</v>
      </c>
      <c r="K31">
        <v>14296723</v>
      </c>
      <c r="L31">
        <v>2.4303999999999999E-2</v>
      </c>
      <c r="M31" s="5">
        <v>0.745</v>
      </c>
      <c r="N31" s="5">
        <v>0.53900000000000003</v>
      </c>
      <c r="O31" s="3">
        <f>M31-N31</f>
        <v>0.20599999999999996</v>
      </c>
      <c r="P31" t="s">
        <v>67</v>
      </c>
      <c r="Q31">
        <f>_xlfn.QUARTILE.INC(F2:F48,1 )</f>
        <v>2.1439500000000002</v>
      </c>
    </row>
    <row r="32" spans="1:20">
      <c r="A32" t="s">
        <v>87</v>
      </c>
      <c r="B32">
        <v>470</v>
      </c>
      <c r="C32">
        <v>9401</v>
      </c>
      <c r="D32">
        <v>4.2647999999999998E-2</v>
      </c>
      <c r="E32">
        <v>0.48666399999999999</v>
      </c>
      <c r="F32">
        <v>5.9607000000000001</v>
      </c>
      <c r="G32">
        <v>51263592</v>
      </c>
      <c r="H32">
        <v>1.55E-2</v>
      </c>
      <c r="I32">
        <v>32135704</v>
      </c>
      <c r="J32">
        <v>1.0669E-2</v>
      </c>
      <c r="K32">
        <v>34104616</v>
      </c>
      <c r="L32">
        <v>9.9349999999999994E-3</v>
      </c>
      <c r="M32" s="5">
        <v>0.68799999999999994</v>
      </c>
      <c r="N32" s="5">
        <v>0.64100000000000001</v>
      </c>
      <c r="O32" s="3">
        <f>M32-N32</f>
        <v>4.6999999999999931E-2</v>
      </c>
      <c r="P32" t="s">
        <v>69</v>
      </c>
      <c r="Q32">
        <f>_xlfn.QUARTILE.INC(F2:F48, 2)</f>
        <v>3.7389999999999999</v>
      </c>
    </row>
    <row r="33" spans="1:17">
      <c r="A33" t="s">
        <v>54</v>
      </c>
      <c r="B33">
        <v>29</v>
      </c>
      <c r="C33">
        <v>370</v>
      </c>
      <c r="D33">
        <v>0.45566499999999999</v>
      </c>
      <c r="E33">
        <v>0.67775200000000002</v>
      </c>
      <c r="F33" s="7">
        <v>1.1157999999999999</v>
      </c>
      <c r="G33">
        <v>16721886</v>
      </c>
      <c r="H33">
        <v>0.117036</v>
      </c>
      <c r="I33">
        <v>16331259</v>
      </c>
      <c r="J33">
        <v>5.4274999999999997E-2</v>
      </c>
      <c r="K33">
        <v>15635413</v>
      </c>
      <c r="L33">
        <v>5.1242999999999997E-2</v>
      </c>
      <c r="M33" s="5">
        <v>0.46400000000000002</v>
      </c>
      <c r="N33" s="5">
        <v>0.438</v>
      </c>
      <c r="O33" s="3">
        <f>M33-N33</f>
        <v>2.6000000000000023E-2</v>
      </c>
      <c r="P33" t="s">
        <v>71</v>
      </c>
      <c r="Q33">
        <f>_xlfn.QUARTILE.INC(F2:F48, 3)</f>
        <v>6.8933</v>
      </c>
    </row>
    <row r="34" spans="1:17">
      <c r="A34" t="s">
        <v>93</v>
      </c>
      <c r="B34">
        <v>553</v>
      </c>
      <c r="C34">
        <v>6309</v>
      </c>
      <c r="D34">
        <v>2.0667999999999999E-2</v>
      </c>
      <c r="E34">
        <v>0.51465499999999997</v>
      </c>
      <c r="F34" s="16">
        <v>12.6212</v>
      </c>
      <c r="G34">
        <v>286328448</v>
      </c>
      <c r="H34">
        <v>3.6840999999999999E-2</v>
      </c>
      <c r="I34">
        <v>441105493</v>
      </c>
      <c r="J34">
        <v>1.4697E-2</v>
      </c>
      <c r="K34">
        <v>308998490</v>
      </c>
      <c r="L34">
        <v>1.1627E-2</v>
      </c>
      <c r="M34" s="5">
        <v>0.39900000000000002</v>
      </c>
      <c r="N34" s="5">
        <v>0.316</v>
      </c>
      <c r="O34" s="3">
        <f>M34-N34</f>
        <v>8.3000000000000018E-2</v>
      </c>
    </row>
    <row r="35" spans="1:17">
      <c r="A35" t="s">
        <v>20</v>
      </c>
      <c r="B35">
        <v>181</v>
      </c>
      <c r="C35">
        <v>2599</v>
      </c>
      <c r="D35">
        <v>7.9772999999999997E-2</v>
      </c>
      <c r="E35">
        <v>0.50595699999999999</v>
      </c>
      <c r="F35">
        <v>4.4424000000000001</v>
      </c>
      <c r="G35">
        <v>18741363</v>
      </c>
      <c r="H35">
        <v>3.7107000000000001E-2</v>
      </c>
      <c r="I35">
        <v>16278375</v>
      </c>
      <c r="J35">
        <v>3.5154999999999999E-2</v>
      </c>
      <c r="K35">
        <v>9856232</v>
      </c>
      <c r="L35">
        <v>3.2829999999999998E-2</v>
      </c>
      <c r="M35" s="5">
        <v>0.94699999999999995</v>
      </c>
      <c r="N35" s="5">
        <v>0.88500000000000001</v>
      </c>
      <c r="O35" s="3">
        <f>M35-N35</f>
        <v>6.1999999999999944E-2</v>
      </c>
    </row>
    <row r="36" spans="1:17">
      <c r="A36" t="s">
        <v>88</v>
      </c>
      <c r="B36">
        <v>194</v>
      </c>
      <c r="C36">
        <v>5971</v>
      </c>
      <c r="D36">
        <v>0.159473</v>
      </c>
      <c r="E36">
        <v>0.48109200000000002</v>
      </c>
      <c r="F36">
        <v>1.8343</v>
      </c>
      <c r="G36">
        <v>16708690</v>
      </c>
      <c r="H36">
        <v>2.0485E-2</v>
      </c>
      <c r="I36">
        <v>41778159</v>
      </c>
      <c r="J36">
        <v>1.8242000000000001E-2</v>
      </c>
      <c r="K36">
        <v>54923609</v>
      </c>
      <c r="L36">
        <v>1.4605999999999999E-2</v>
      </c>
      <c r="M36" s="5">
        <v>0.89100000000000001</v>
      </c>
      <c r="N36" s="5">
        <v>0.71299999999999997</v>
      </c>
      <c r="O36" s="3">
        <f>M36-N36</f>
        <v>0.17800000000000005</v>
      </c>
    </row>
    <row r="37" spans="1:17">
      <c r="A37" t="s">
        <v>21</v>
      </c>
      <c r="B37">
        <v>173</v>
      </c>
      <c r="C37">
        <v>1855</v>
      </c>
      <c r="D37">
        <v>6.234E-2</v>
      </c>
      <c r="E37">
        <v>0.33759899999999998</v>
      </c>
      <c r="F37">
        <v>3.8641000000000001</v>
      </c>
      <c r="G37">
        <v>106624194</v>
      </c>
      <c r="H37">
        <v>2.6870999999999999E-2</v>
      </c>
      <c r="I37">
        <v>124967126</v>
      </c>
      <c r="J37">
        <v>2.6415000000000001E-2</v>
      </c>
      <c r="K37">
        <v>128158071</v>
      </c>
      <c r="L37">
        <v>2.2863000000000001E-2</v>
      </c>
      <c r="M37" s="5">
        <v>0.98299999999999998</v>
      </c>
      <c r="N37" s="5">
        <v>0.85099999999999998</v>
      </c>
      <c r="O37" s="3">
        <f>M37-N37</f>
        <v>0.13200000000000001</v>
      </c>
    </row>
    <row r="38" spans="1:17">
      <c r="A38" t="s">
        <v>89</v>
      </c>
      <c r="B38">
        <v>202</v>
      </c>
      <c r="C38">
        <v>4748</v>
      </c>
      <c r="D38">
        <v>0.11694</v>
      </c>
      <c r="E38">
        <v>0.49210500000000001</v>
      </c>
      <c r="F38">
        <v>2.8340000000000001</v>
      </c>
      <c r="G38">
        <v>18194219</v>
      </c>
      <c r="H38">
        <v>2.6041000000000002E-2</v>
      </c>
      <c r="I38">
        <v>322233489</v>
      </c>
      <c r="J38">
        <v>1.7160000000000002E-2</v>
      </c>
      <c r="K38">
        <v>174860999</v>
      </c>
      <c r="L38">
        <v>1.5432E-2</v>
      </c>
      <c r="M38" s="5">
        <v>0.65900000000000003</v>
      </c>
      <c r="N38" s="5">
        <v>0.59299999999999997</v>
      </c>
      <c r="O38" s="3">
        <f>M38-N38</f>
        <v>6.6000000000000059E-2</v>
      </c>
    </row>
    <row r="39" spans="1:17">
      <c r="A39" t="s">
        <v>57</v>
      </c>
      <c r="B39">
        <v>1419</v>
      </c>
      <c r="C39">
        <v>30335</v>
      </c>
      <c r="D39">
        <v>1.5076000000000001E-2</v>
      </c>
      <c r="E39">
        <v>0.46412500000000001</v>
      </c>
      <c r="F39" s="16">
        <v>19.366900000000001</v>
      </c>
      <c r="G39">
        <v>657863</v>
      </c>
      <c r="H39">
        <v>6.7609999999999996E-3</v>
      </c>
      <c r="I39">
        <v>50393960</v>
      </c>
      <c r="J39">
        <v>6.7340000000000004E-3</v>
      </c>
      <c r="K39">
        <v>972651</v>
      </c>
      <c r="L39">
        <v>6.5490000000000001E-3</v>
      </c>
      <c r="M39" s="13">
        <v>0.996</v>
      </c>
      <c r="N39" s="13">
        <v>0.96899999999999997</v>
      </c>
      <c r="O39" s="3">
        <f>M39-N39</f>
        <v>2.7000000000000024E-2</v>
      </c>
    </row>
    <row r="40" spans="1:17">
      <c r="A40" t="s">
        <v>94</v>
      </c>
      <c r="B40">
        <v>82</v>
      </c>
      <c r="C40">
        <v>391</v>
      </c>
      <c r="D40">
        <v>5.8867999999999997E-2</v>
      </c>
      <c r="E40">
        <v>0.54016600000000004</v>
      </c>
      <c r="F40">
        <v>10.1289</v>
      </c>
      <c r="G40">
        <v>14239638</v>
      </c>
      <c r="H40">
        <v>0.219524</v>
      </c>
      <c r="I40">
        <v>34735227</v>
      </c>
      <c r="J40">
        <v>4.4269000000000003E-2</v>
      </c>
      <c r="K40">
        <v>6610442</v>
      </c>
      <c r="L40">
        <v>3.4174999999999997E-2</v>
      </c>
      <c r="M40" s="14">
        <v>0.20200000000000001</v>
      </c>
      <c r="N40" s="14">
        <v>0.156</v>
      </c>
      <c r="O40" s="3">
        <f>M40-N40</f>
        <v>4.6000000000000013E-2</v>
      </c>
    </row>
    <row r="41" spans="1:17">
      <c r="A41" t="s">
        <v>22</v>
      </c>
      <c r="B41">
        <v>165</v>
      </c>
      <c r="C41">
        <v>2932</v>
      </c>
      <c r="D41">
        <v>0.108352</v>
      </c>
      <c r="E41">
        <v>0.54422499999999996</v>
      </c>
      <c r="F41">
        <v>3.7658999999999998</v>
      </c>
      <c r="G41">
        <v>40703590</v>
      </c>
      <c r="H41">
        <v>3.2896000000000002E-2</v>
      </c>
      <c r="I41">
        <v>129631184</v>
      </c>
      <c r="J41">
        <v>2.7989E-2</v>
      </c>
      <c r="K41">
        <v>123121569</v>
      </c>
      <c r="L41">
        <v>1.5702000000000001E-2</v>
      </c>
      <c r="M41" s="5">
        <v>0.85099999999999998</v>
      </c>
      <c r="N41" s="5">
        <v>0.47699999999999998</v>
      </c>
      <c r="O41" s="12">
        <f>M41-N41</f>
        <v>0.374</v>
      </c>
    </row>
    <row r="42" spans="1:17">
      <c r="A42" t="s">
        <v>23</v>
      </c>
      <c r="B42">
        <v>2171</v>
      </c>
      <c r="C42">
        <v>84884</v>
      </c>
      <c r="D42">
        <v>1.8017999999999999E-2</v>
      </c>
      <c r="E42">
        <v>0.42469000000000001</v>
      </c>
      <c r="F42" s="16">
        <v>15.4041</v>
      </c>
      <c r="G42">
        <v>24585498</v>
      </c>
      <c r="H42">
        <v>6.2589999999999998E-3</v>
      </c>
      <c r="I42">
        <v>15913</v>
      </c>
      <c r="J42">
        <v>6.0239999999999998E-3</v>
      </c>
      <c r="K42">
        <v>9451052</v>
      </c>
      <c r="L42">
        <v>5.0220000000000004E-3</v>
      </c>
      <c r="M42" s="5">
        <v>0.96199999999999997</v>
      </c>
      <c r="N42" s="5">
        <v>0.80200000000000005</v>
      </c>
      <c r="O42" s="3">
        <f>M42-N42</f>
        <v>0.15999999999999992</v>
      </c>
    </row>
    <row r="43" spans="1:17">
      <c r="A43" t="s">
        <v>95</v>
      </c>
      <c r="B43">
        <v>869</v>
      </c>
      <c r="C43">
        <v>27978</v>
      </c>
      <c r="D43">
        <v>3.7092E-2</v>
      </c>
      <c r="E43">
        <v>0.45873199999999997</v>
      </c>
      <c r="F43">
        <v>7.2102000000000004</v>
      </c>
      <c r="G43">
        <v>11348282</v>
      </c>
      <c r="H43">
        <v>2.9853999999999999E-2</v>
      </c>
      <c r="I43">
        <v>17217640</v>
      </c>
      <c r="J43">
        <v>1.3568999999999999E-2</v>
      </c>
      <c r="K43">
        <v>23959074</v>
      </c>
      <c r="L43">
        <v>1.2635E-2</v>
      </c>
      <c r="M43" s="5">
        <v>0.45500000000000002</v>
      </c>
      <c r="N43" s="5">
        <v>0.42299999999999999</v>
      </c>
      <c r="O43" s="3">
        <f>M43-N43</f>
        <v>3.2000000000000028E-2</v>
      </c>
    </row>
    <row r="44" spans="1:17">
      <c r="A44" t="s">
        <v>90</v>
      </c>
      <c r="B44">
        <v>886</v>
      </c>
      <c r="C44">
        <v>23431</v>
      </c>
      <c r="D44">
        <v>2.9881999999999999E-2</v>
      </c>
      <c r="E44">
        <v>0.51845799999999997</v>
      </c>
      <c r="F44">
        <v>10.0038</v>
      </c>
      <c r="G44">
        <v>783214</v>
      </c>
      <c r="H44">
        <v>1.0973999999999999E-2</v>
      </c>
      <c r="I44">
        <v>17093617</v>
      </c>
      <c r="J44">
        <v>8.3590000000000001E-3</v>
      </c>
      <c r="K44">
        <v>33423</v>
      </c>
      <c r="L44">
        <v>8.3379999999999999E-3</v>
      </c>
      <c r="M44" s="5">
        <v>0.76200000000000001</v>
      </c>
      <c r="N44" s="5">
        <v>0.76</v>
      </c>
      <c r="O44" s="11">
        <f>M44-N44</f>
        <v>2.0000000000000018E-3</v>
      </c>
    </row>
    <row r="45" spans="1:17">
      <c r="A45" t="s">
        <v>24</v>
      </c>
      <c r="B45">
        <v>197</v>
      </c>
      <c r="C45">
        <v>5118</v>
      </c>
      <c r="D45">
        <v>0.132549</v>
      </c>
      <c r="E45">
        <v>0.51098600000000005</v>
      </c>
      <c r="F45">
        <v>3.2584</v>
      </c>
      <c r="G45">
        <v>163877409</v>
      </c>
      <c r="H45">
        <v>3.0542E-2</v>
      </c>
      <c r="I45">
        <v>494696880</v>
      </c>
      <c r="J45">
        <v>1.7266E-2</v>
      </c>
      <c r="K45">
        <v>375947005</v>
      </c>
      <c r="L45">
        <v>1.2883E-2</v>
      </c>
      <c r="M45" s="5">
        <v>0.56499999999999995</v>
      </c>
      <c r="N45" s="5">
        <v>0.42199999999999999</v>
      </c>
      <c r="O45" s="3">
        <f>M45-N45</f>
        <v>0.14299999999999996</v>
      </c>
    </row>
    <row r="46" spans="1:17">
      <c r="A46" t="s">
        <v>25</v>
      </c>
      <c r="B46">
        <v>365</v>
      </c>
      <c r="C46">
        <v>6640</v>
      </c>
      <c r="D46">
        <v>4.9977000000000001E-2</v>
      </c>
      <c r="E46">
        <v>0.508849</v>
      </c>
      <c r="F46">
        <v>5.4760999999999997</v>
      </c>
      <c r="G46">
        <v>17241895</v>
      </c>
      <c r="H46">
        <v>1.7971999999999998E-2</v>
      </c>
      <c r="I46">
        <v>16065736</v>
      </c>
      <c r="J46">
        <v>1.5786000000000001E-2</v>
      </c>
      <c r="K46">
        <v>8766122</v>
      </c>
      <c r="L46">
        <v>1.1459E-2</v>
      </c>
      <c r="M46" s="5">
        <v>0.878</v>
      </c>
      <c r="N46" s="5">
        <v>0.63800000000000001</v>
      </c>
      <c r="O46" s="3">
        <f>M46-N46</f>
        <v>0.24</v>
      </c>
    </row>
    <row r="47" spans="1:17">
      <c r="A47" t="s">
        <v>26</v>
      </c>
      <c r="B47">
        <v>181</v>
      </c>
      <c r="C47">
        <v>5494</v>
      </c>
      <c r="D47">
        <v>0.168631</v>
      </c>
      <c r="E47">
        <v>0.54721299999999995</v>
      </c>
      <c r="F47">
        <v>2.0796999999999999</v>
      </c>
      <c r="G47">
        <v>8471852</v>
      </c>
      <c r="H47">
        <v>2.6540000000000001E-2</v>
      </c>
      <c r="I47">
        <v>14808009</v>
      </c>
      <c r="J47">
        <v>2.3258000000000001E-2</v>
      </c>
      <c r="K47">
        <v>22709659</v>
      </c>
      <c r="L47">
        <v>2.1801999999999998E-2</v>
      </c>
      <c r="M47" s="5">
        <v>0.876</v>
      </c>
      <c r="N47" s="5">
        <v>0.82099999999999995</v>
      </c>
      <c r="O47" s="3">
        <f>M47-N47</f>
        <v>5.5000000000000049E-2</v>
      </c>
    </row>
    <row r="48" spans="1:17">
      <c r="A48" t="s">
        <v>27</v>
      </c>
      <c r="B48">
        <v>448</v>
      </c>
      <c r="C48">
        <v>7740</v>
      </c>
      <c r="D48">
        <v>3.8650999999999998E-2</v>
      </c>
      <c r="E48">
        <v>0.45233600000000002</v>
      </c>
      <c r="F48">
        <v>6.5763999999999996</v>
      </c>
      <c r="G48">
        <v>18269449</v>
      </c>
      <c r="H48">
        <v>2.0204E-2</v>
      </c>
      <c r="I48">
        <v>42535805</v>
      </c>
      <c r="J48">
        <v>1.8971999999999999E-2</v>
      </c>
      <c r="K48">
        <v>14622632</v>
      </c>
      <c r="L48">
        <v>1.8062000000000002E-2</v>
      </c>
      <c r="M48" s="5">
        <v>0.93899999999999995</v>
      </c>
      <c r="N48" s="5">
        <v>0.89400000000000002</v>
      </c>
      <c r="O48" s="3">
        <f>M48-N48</f>
        <v>4.4999999999999929E-2</v>
      </c>
    </row>
  </sheetData>
  <autoFilter ref="A1:Q48" xr:uid="{192AF196-B01B-8244-8A8D-97B002E3FA1E}"/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D233-6572-0848-8AF2-8A0E62AFEB85}">
  <dimension ref="A1:M46"/>
  <sheetViews>
    <sheetView workbookViewId="0">
      <selection activeCell="I16" sqref="I16"/>
    </sheetView>
  </sheetViews>
  <sheetFormatPr baseColWidth="10" defaultRowHeight="20"/>
  <sheetData>
    <row r="1" spans="1:7">
      <c r="A1" s="17" t="s">
        <v>28</v>
      </c>
      <c r="B1" s="17"/>
      <c r="C1" s="17"/>
      <c r="D1" s="17" t="s">
        <v>46</v>
      </c>
      <c r="E1" s="17"/>
      <c r="F1" s="17"/>
      <c r="G1" s="17"/>
    </row>
    <row r="2" spans="1:7">
      <c r="A2" s="17" t="s">
        <v>32</v>
      </c>
      <c r="B2" s="17">
        <v>0.67775200000000002</v>
      </c>
      <c r="C2" s="17"/>
      <c r="D2" s="17" t="s">
        <v>50</v>
      </c>
      <c r="E2" s="17"/>
      <c r="F2" s="17" t="s">
        <v>51</v>
      </c>
      <c r="G2" s="17"/>
    </row>
    <row r="3" spans="1:7">
      <c r="A3" s="17" t="s">
        <v>34</v>
      </c>
      <c r="B3" s="17">
        <v>0.33759899999999998</v>
      </c>
      <c r="C3" s="17"/>
      <c r="D3" s="17" t="s">
        <v>48</v>
      </c>
      <c r="E3" s="17">
        <v>17</v>
      </c>
      <c r="F3" s="17" t="s">
        <v>48</v>
      </c>
      <c r="G3" s="17">
        <v>2</v>
      </c>
    </row>
    <row r="4" spans="1:7">
      <c r="A4" s="17" t="s">
        <v>36</v>
      </c>
      <c r="B4" s="17">
        <v>0.504280638</v>
      </c>
      <c r="C4" s="17"/>
      <c r="D4" s="17" t="s">
        <v>108</v>
      </c>
      <c r="E4" s="17">
        <v>24</v>
      </c>
      <c r="F4" s="17" t="s">
        <v>108</v>
      </c>
      <c r="G4" s="17">
        <v>34</v>
      </c>
    </row>
    <row r="5" spans="1:7">
      <c r="A5" s="17" t="s">
        <v>41</v>
      </c>
      <c r="B5" s="17">
        <v>0.50595699999999999</v>
      </c>
      <c r="C5" s="17"/>
      <c r="D5" s="17" t="s">
        <v>49</v>
      </c>
      <c r="E5" s="17">
        <v>6</v>
      </c>
      <c r="F5" s="17" t="s">
        <v>49</v>
      </c>
      <c r="G5" s="17">
        <v>11</v>
      </c>
    </row>
    <row r="6" spans="1:7">
      <c r="A6" s="17"/>
      <c r="B6" s="17"/>
      <c r="C6" s="17"/>
      <c r="D6" s="17"/>
      <c r="E6" s="17"/>
      <c r="F6" s="17"/>
      <c r="G6" s="17"/>
    </row>
    <row r="7" spans="1:7">
      <c r="A7" s="17"/>
      <c r="B7" s="17"/>
      <c r="C7" s="17"/>
      <c r="D7" s="17"/>
      <c r="E7" s="17">
        <v>47</v>
      </c>
      <c r="F7" s="17"/>
      <c r="G7" s="17">
        <v>47</v>
      </c>
    </row>
    <row r="8" spans="1:7">
      <c r="A8" s="17" t="s">
        <v>30</v>
      </c>
      <c r="B8" s="17"/>
      <c r="C8" s="17"/>
      <c r="D8" s="17"/>
      <c r="E8" s="17"/>
      <c r="F8" s="17"/>
      <c r="G8" s="17"/>
    </row>
    <row r="9" spans="1:7">
      <c r="A9" s="17" t="s">
        <v>32</v>
      </c>
      <c r="B9" s="17">
        <v>0.45566499999999999</v>
      </c>
      <c r="C9" s="17"/>
      <c r="D9" s="17" t="s">
        <v>97</v>
      </c>
      <c r="E9" s="17"/>
      <c r="F9" s="17"/>
      <c r="G9" s="17"/>
    </row>
    <row r="10" spans="1:7">
      <c r="A10" s="17" t="s">
        <v>34</v>
      </c>
      <c r="B10" s="17">
        <v>8.9090000000000003E-3</v>
      </c>
      <c r="C10" s="17"/>
      <c r="D10" s="17" t="s">
        <v>110</v>
      </c>
      <c r="E10" s="17">
        <v>28</v>
      </c>
      <c r="F10" s="17" t="s">
        <v>112</v>
      </c>
      <c r="G10" s="18">
        <v>0.60799999999999998</v>
      </c>
    </row>
    <row r="11" spans="1:7">
      <c r="A11" s="17" t="s">
        <v>36</v>
      </c>
      <c r="B11" s="17">
        <v>0.108733872</v>
      </c>
      <c r="C11" s="17"/>
      <c r="D11" s="17" t="s">
        <v>98</v>
      </c>
      <c r="E11" s="17">
        <v>12</v>
      </c>
      <c r="F11" s="17" t="s">
        <v>114</v>
      </c>
      <c r="G11" s="18">
        <v>2E-3</v>
      </c>
    </row>
    <row r="12" spans="1:7">
      <c r="A12" s="17" t="s">
        <v>41</v>
      </c>
      <c r="B12" s="17">
        <v>8.7785000000000002E-2</v>
      </c>
      <c r="C12" s="17"/>
      <c r="D12" s="17" t="s">
        <v>100</v>
      </c>
      <c r="E12" s="17">
        <v>4</v>
      </c>
      <c r="F12" s="17"/>
      <c r="G12" s="17"/>
    </row>
    <row r="13" spans="1:7">
      <c r="A13" s="17"/>
      <c r="B13" s="17"/>
      <c r="C13" s="17"/>
      <c r="D13" s="17" t="s">
        <v>102</v>
      </c>
      <c r="E13" s="17">
        <v>1</v>
      </c>
      <c r="F13" s="17"/>
      <c r="G13" s="17"/>
    </row>
    <row r="14" spans="1:7">
      <c r="A14" s="17"/>
      <c r="B14" s="17"/>
      <c r="C14" s="17"/>
      <c r="D14" s="17" t="s">
        <v>104</v>
      </c>
      <c r="E14" s="17">
        <v>1</v>
      </c>
      <c r="F14" s="17"/>
      <c r="G14" s="17"/>
    </row>
    <row r="15" spans="1:7">
      <c r="A15" s="17"/>
      <c r="B15" s="17"/>
      <c r="C15" s="17"/>
      <c r="D15" s="17" t="s">
        <v>106</v>
      </c>
      <c r="E15" s="17">
        <v>1</v>
      </c>
      <c r="F15" s="17"/>
      <c r="G15" s="17"/>
    </row>
    <row r="16" spans="1:7">
      <c r="A16" s="17" t="s">
        <v>39</v>
      </c>
      <c r="B16" s="17"/>
      <c r="C16" s="17"/>
      <c r="D16" s="17"/>
      <c r="E16" s="17"/>
      <c r="F16" s="17"/>
      <c r="G16" s="17"/>
    </row>
    <row r="17" spans="1:13">
      <c r="A17" s="17" t="s">
        <v>32</v>
      </c>
      <c r="B17" s="17">
        <v>31.206</v>
      </c>
      <c r="C17" s="17"/>
      <c r="D17" s="17"/>
      <c r="E17" s="17"/>
      <c r="F17" s="17"/>
      <c r="G17" s="17"/>
    </row>
    <row r="18" spans="1:13">
      <c r="A18" s="17" t="s">
        <v>34</v>
      </c>
      <c r="B18" s="17">
        <v>1.1157999999999999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>
      <c r="A19" s="17" t="s">
        <v>41</v>
      </c>
      <c r="B19" s="17">
        <v>3.7389999999999999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>
      <c r="A20" s="17" t="s">
        <v>36</v>
      </c>
      <c r="B20" s="17">
        <v>5.6829829790000002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>
      <c r="A22" s="17" t="s">
        <v>58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>
      <c r="A23" s="17" t="s">
        <v>62</v>
      </c>
      <c r="B23" s="17">
        <v>15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>
      <c r="A24" s="17" t="s">
        <v>60</v>
      </c>
      <c r="B24" s="17">
        <v>32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>
      <c r="A26" s="17" t="s">
        <v>64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>
      <c r="A27" s="17" t="s">
        <v>66</v>
      </c>
      <c r="B27" s="17">
        <v>2.1439499999999998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</row>
    <row r="28" spans="1:13">
      <c r="A28" s="17" t="s">
        <v>68</v>
      </c>
      <c r="B28" s="17">
        <v>3.7389999999999999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1:13">
      <c r="A29" s="17" t="s">
        <v>70</v>
      </c>
      <c r="B29" s="17">
        <v>6.8933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>
      <c r="G30" s="17"/>
      <c r="H30" s="17"/>
      <c r="I30" s="17"/>
      <c r="J30" s="17"/>
      <c r="K30" s="17"/>
      <c r="L30" s="17"/>
      <c r="M30" s="17"/>
    </row>
    <row r="31" spans="1:13">
      <c r="G31" s="17"/>
      <c r="H31" s="17"/>
      <c r="I31" s="17"/>
      <c r="J31" s="17"/>
      <c r="K31" s="17"/>
      <c r="L31" s="17"/>
      <c r="M31" s="17"/>
    </row>
    <row r="32" spans="1:13">
      <c r="G32" s="17"/>
      <c r="H32" s="17"/>
      <c r="I32" s="17"/>
      <c r="J32" s="17"/>
      <c r="K32" s="17"/>
      <c r="L32" s="17"/>
      <c r="M32" s="17"/>
    </row>
    <row r="33" spans="7:13">
      <c r="G33" s="17"/>
      <c r="H33" s="17"/>
      <c r="I33" s="17"/>
      <c r="J33" s="17"/>
      <c r="K33" s="17"/>
      <c r="L33" s="17"/>
      <c r="M33" s="17"/>
    </row>
    <row r="34" spans="7:13">
      <c r="G34" s="17"/>
      <c r="H34" s="17"/>
      <c r="I34" s="17"/>
      <c r="J34" s="17"/>
      <c r="K34" s="17"/>
      <c r="L34" s="17"/>
      <c r="M34" s="17"/>
    </row>
    <row r="35" spans="7:13">
      <c r="G35" s="17"/>
      <c r="H35" s="17"/>
      <c r="I35" s="17"/>
      <c r="J35" s="17"/>
      <c r="K35" s="17"/>
      <c r="L35" s="17"/>
      <c r="M35" s="17"/>
    </row>
    <row r="36" spans="7:13">
      <c r="G36" s="17"/>
      <c r="H36" s="17"/>
      <c r="I36" s="17"/>
      <c r="J36" s="17"/>
      <c r="K36" s="17"/>
      <c r="L36" s="17"/>
      <c r="M36" s="17"/>
    </row>
    <row r="37" spans="7:13">
      <c r="G37" s="17"/>
      <c r="H37" s="17"/>
      <c r="I37" s="17"/>
      <c r="J37" s="17"/>
      <c r="K37" s="17"/>
      <c r="L37" s="17"/>
      <c r="M37" s="17"/>
    </row>
    <row r="38" spans="7:13">
      <c r="G38" s="17"/>
      <c r="H38" s="17"/>
      <c r="I38" s="17"/>
      <c r="J38" s="17"/>
      <c r="K38" s="17"/>
      <c r="L38" s="17"/>
      <c r="M38" s="17"/>
    </row>
    <row r="39" spans="7:13">
      <c r="G39" s="17"/>
      <c r="H39" s="17"/>
      <c r="I39" s="17"/>
      <c r="J39" s="17"/>
      <c r="K39" s="17"/>
      <c r="L39" s="17"/>
      <c r="M39" s="17"/>
    </row>
    <row r="40" spans="7:13">
      <c r="G40" s="17"/>
      <c r="H40" s="17"/>
      <c r="I40" s="17"/>
      <c r="J40" s="17"/>
      <c r="K40" s="17"/>
      <c r="L40" s="17"/>
      <c r="M40" s="17"/>
    </row>
    <row r="41" spans="7:13">
      <c r="G41" s="17"/>
      <c r="H41" s="17"/>
      <c r="I41" s="17"/>
      <c r="J41" s="17"/>
      <c r="K41" s="17"/>
      <c r="L41" s="17"/>
      <c r="M41" s="17"/>
    </row>
    <row r="42" spans="7:13">
      <c r="G42" s="17"/>
      <c r="H42" s="17"/>
      <c r="I42" s="17"/>
      <c r="J42" s="17"/>
      <c r="K42" s="17"/>
      <c r="L42" s="17"/>
      <c r="M42" s="17"/>
    </row>
    <row r="43" spans="7:13">
      <c r="G43" s="17"/>
      <c r="H43" s="17"/>
      <c r="I43" s="17"/>
      <c r="J43" s="17"/>
      <c r="K43" s="17"/>
      <c r="L43" s="17"/>
      <c r="M43" s="17"/>
    </row>
    <row r="44" spans="7:13">
      <c r="G44" s="17"/>
      <c r="H44" s="17"/>
      <c r="I44" s="17"/>
      <c r="J44" s="17"/>
      <c r="K44" s="17"/>
      <c r="L44" s="17"/>
      <c r="M44" s="17"/>
    </row>
    <row r="45" spans="7:13">
      <c r="G45" s="17"/>
      <c r="H45" s="17"/>
      <c r="I45" s="17"/>
      <c r="J45" s="17"/>
      <c r="K45" s="17"/>
      <c r="L45" s="17"/>
      <c r="M45" s="17"/>
    </row>
    <row r="46" spans="7:13">
      <c r="G46" s="17"/>
      <c r="H46" s="17"/>
      <c r="I46" s="17"/>
      <c r="J46" s="17"/>
      <c r="K46" s="17"/>
      <c r="L46" s="17"/>
      <c r="M46" s="17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all_communities_analysis_report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2026-05-20T08:36:06Z</dcterms:created>
  <dcterms:modified xsi:type="dcterms:W3CDTF">2026-05-20T16:26:14Z</dcterms:modified>
</cp:coreProperties>
</file>