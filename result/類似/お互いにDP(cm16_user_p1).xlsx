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aoriogawa/研究/community-detection-social-networks/result/類似/"/>
    </mc:Choice>
  </mc:AlternateContent>
  <xr:revisionPtr revIDLastSave="0" documentId="13_ncr:1_{80E4FAF3-63B9-AE48-8044-29600C5D8318}" xr6:coauthVersionLast="47" xr6:coauthVersionMax="47" xr10:uidLastSave="{00000000-0000-0000-0000-000000000000}"/>
  <bookViews>
    <workbookView xWindow="3040" yWindow="2000" windowWidth="27900" windowHeight="16860" xr2:uid="{98913102-92F9-9447-91B0-A39571AF6206}"/>
  </bookViews>
  <sheets>
    <sheet name="お互いにDP(cm16_user_p1)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2" i="1"/>
  <c r="M1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2" i="1"/>
</calcChain>
</file>

<file path=xl/sharedStrings.xml><?xml version="1.0" encoding="utf-8"?>
<sst xmlns="http://schemas.openxmlformats.org/spreadsheetml/2006/main" count="12" uniqueCount="12">
  <si>
    <t>Seed</t>
  </si>
  <si>
    <t>ありの解</t>
  </si>
  <si>
    <t>ありの解2</t>
  </si>
  <si>
    <t>ありをなし</t>
  </si>
  <si>
    <t>なしの解</t>
  </si>
  <si>
    <t>なしの解をアリ</t>
  </si>
  <si>
    <t>なしの解をアリ2</t>
  </si>
  <si>
    <t>ありの優位性</t>
  </si>
  <si>
    <t>割合</t>
  </si>
  <si>
    <t>最大</t>
  </si>
  <si>
    <t>平均</t>
    <rPh sb="0" eb="2">
      <t>ヘイキn</t>
    </rPh>
    <phoneticPr fontId="18"/>
  </si>
  <si>
    <t>一致率</t>
    <rPh sb="0" eb="3">
      <t>イッティ</t>
    </rPh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</si>
</sst>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0.000%"/>
  </numFmts>
  <fonts count="19">
    <font>
      <sz val="12"/>
      <color theme="1"/>
      <name val="游ゴシック"/>
      <family val="2"/>
      <charset val="128"/>
      <scheme val="minor"/>
    </font>
    <font>
      <sz val="12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2"/>
      <color rgb="FF006100"/>
      <name val="游ゴシック"/>
      <family val="2"/>
      <charset val="128"/>
      <scheme val="minor"/>
    </font>
    <font>
      <sz val="12"/>
      <color rgb="FF9C0006"/>
      <name val="游ゴシック"/>
      <family val="2"/>
      <charset val="128"/>
      <scheme val="minor"/>
    </font>
    <font>
      <sz val="12"/>
      <color rgb="FF9C5700"/>
      <name val="游ゴシック"/>
      <family val="2"/>
      <charset val="128"/>
      <scheme val="minor"/>
    </font>
    <font>
      <sz val="12"/>
      <color rgb="FF3F3F76"/>
      <name val="游ゴシック"/>
      <family val="2"/>
      <charset val="128"/>
      <scheme val="minor"/>
    </font>
    <font>
      <b/>
      <sz val="12"/>
      <color rgb="FF3F3F3F"/>
      <name val="游ゴシック"/>
      <family val="2"/>
      <charset val="128"/>
      <scheme val="minor"/>
    </font>
    <font>
      <b/>
      <sz val="12"/>
      <color rgb="FFFA7D00"/>
      <name val="游ゴシック"/>
      <family val="2"/>
      <charset val="128"/>
      <scheme val="minor"/>
    </font>
    <font>
      <sz val="12"/>
      <color rgb="FFFA7D00"/>
      <name val="游ゴシック"/>
      <family val="2"/>
      <charset val="128"/>
      <scheme val="minor"/>
    </font>
    <font>
      <b/>
      <sz val="12"/>
      <color theme="0"/>
      <name val="游ゴシック"/>
      <family val="2"/>
      <charset val="128"/>
      <scheme val="minor"/>
    </font>
    <font>
      <sz val="12"/>
      <color rgb="FFFF0000"/>
      <name val="游ゴシック"/>
      <family val="2"/>
      <charset val="128"/>
      <scheme val="minor"/>
    </font>
    <font>
      <i/>
      <sz val="12"/>
      <color rgb="FF7F7F7F"/>
      <name val="游ゴシック"/>
      <family val="2"/>
      <charset val="128"/>
      <scheme val="minor"/>
    </font>
    <font>
      <b/>
      <sz val="12"/>
      <color theme="1"/>
      <name val="游ゴシック"/>
      <family val="2"/>
      <charset val="128"/>
      <scheme val="minor"/>
    </font>
    <font>
      <sz val="12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78" fontId="0" fillId="0" borderId="0" xfId="0" applyNumberFormat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6AE97-2F09-4F48-BC85-72BCECFE5595}">
  <dimension ref="A1:M37"/>
  <sheetViews>
    <sheetView tabSelected="1" workbookViewId="0">
      <selection activeCell="M5" sqref="M5"/>
    </sheetView>
  </sheetViews>
  <sheetFormatPr baseColWidth="10" defaultRowHeight="2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I1" t="s">
        <v>7</v>
      </c>
      <c r="J1" t="s">
        <v>8</v>
      </c>
      <c r="L1" t="s">
        <v>9</v>
      </c>
      <c r="M1" s="1">
        <f>MAX(J2:J37)</f>
        <v>9.3808174828005284E-2</v>
      </c>
    </row>
    <row r="2" spans="1:13">
      <c r="A2">
        <v>0</v>
      </c>
      <c r="B2">
        <v>47.937999999999903</v>
      </c>
      <c r="C2">
        <v>40.551999999999801</v>
      </c>
      <c r="D2">
        <v>77.453000000000003</v>
      </c>
      <c r="E2">
        <v>77.453000000000003</v>
      </c>
      <c r="F2">
        <v>47.937999999999903</v>
      </c>
      <c r="G2">
        <v>40.551999999999801</v>
      </c>
      <c r="I2">
        <f>(B2-F2)</f>
        <v>0</v>
      </c>
      <c r="J2">
        <f>(I2/B2)</f>
        <v>0</v>
      </c>
      <c r="L2" t="s">
        <v>10</v>
      </c>
      <c r="M2" s="1">
        <f>AVERAGE(J2:J37)</f>
        <v>8.0886818004574194E-3</v>
      </c>
    </row>
    <row r="3" spans="1:13">
      <c r="A3">
        <v>0</v>
      </c>
      <c r="B3">
        <v>63.559999999999903</v>
      </c>
      <c r="C3">
        <v>30.152999999999899</v>
      </c>
      <c r="D3">
        <v>85.133999999999702</v>
      </c>
      <c r="E3">
        <v>85.133999999999702</v>
      </c>
      <c r="F3">
        <v>63.559999999999903</v>
      </c>
      <c r="G3">
        <v>30.152999999999899</v>
      </c>
      <c r="I3">
        <f t="shared" ref="I3:I37" si="0">(B3-F3)</f>
        <v>0</v>
      </c>
      <c r="J3">
        <f t="shared" ref="J3:J37" si="1">(I3/B3)</f>
        <v>0</v>
      </c>
      <c r="L3" t="s">
        <v>11</v>
      </c>
      <c r="M3" s="1">
        <f>COUNTIF(I2:I37,0)/COUNT(I2:I37)</f>
        <v>0.3611111111111111</v>
      </c>
    </row>
    <row r="4" spans="1:13">
      <c r="A4">
        <v>0</v>
      </c>
      <c r="B4">
        <v>73.608999999999995</v>
      </c>
      <c r="C4">
        <v>25.779999999999902</v>
      </c>
      <c r="D4">
        <v>91.304999999999694</v>
      </c>
      <c r="E4">
        <v>91.304999999999694</v>
      </c>
      <c r="F4">
        <v>73.608999999999995</v>
      </c>
      <c r="G4">
        <v>25.779999999999902</v>
      </c>
      <c r="I4">
        <f t="shared" si="0"/>
        <v>0</v>
      </c>
      <c r="J4">
        <f t="shared" si="1"/>
        <v>0</v>
      </c>
    </row>
    <row r="5" spans="1:13">
      <c r="A5">
        <v>0</v>
      </c>
      <c r="B5">
        <v>77.801999999999893</v>
      </c>
      <c r="C5">
        <v>23.965999999999902</v>
      </c>
      <c r="D5">
        <v>93.853999999999701</v>
      </c>
      <c r="E5">
        <v>94.501999999999597</v>
      </c>
      <c r="F5">
        <v>76.501000000000005</v>
      </c>
      <c r="G5">
        <v>25.328999999999901</v>
      </c>
      <c r="I5">
        <f t="shared" si="0"/>
        <v>1.3009999999998882</v>
      </c>
      <c r="J5">
        <f t="shared" si="1"/>
        <v>1.6721935168760315E-2</v>
      </c>
    </row>
    <row r="6" spans="1:13">
      <c r="A6">
        <v>1</v>
      </c>
      <c r="B6">
        <v>20.374999999999901</v>
      </c>
      <c r="C6">
        <v>92.666999999999703</v>
      </c>
      <c r="D6">
        <v>55.055999999999798</v>
      </c>
      <c r="E6">
        <v>55.055999999999798</v>
      </c>
      <c r="F6">
        <v>20.374999999999901</v>
      </c>
      <c r="G6">
        <v>92.666999999999703</v>
      </c>
      <c r="I6">
        <f t="shared" si="0"/>
        <v>0</v>
      </c>
      <c r="J6">
        <f t="shared" si="1"/>
        <v>0</v>
      </c>
    </row>
    <row r="7" spans="1:13">
      <c r="A7">
        <v>1</v>
      </c>
      <c r="B7">
        <v>31.723999999999901</v>
      </c>
      <c r="C7">
        <v>82.381999999999707</v>
      </c>
      <c r="D7">
        <v>66.790999999999997</v>
      </c>
      <c r="E7">
        <v>66.790999999999997</v>
      </c>
      <c r="F7">
        <v>31.723999999999901</v>
      </c>
      <c r="G7">
        <v>82.381999999999707</v>
      </c>
      <c r="I7">
        <f t="shared" si="0"/>
        <v>0</v>
      </c>
      <c r="J7">
        <f t="shared" si="1"/>
        <v>0</v>
      </c>
    </row>
    <row r="8" spans="1:13">
      <c r="A8">
        <v>1</v>
      </c>
      <c r="B8">
        <v>40.557999999999801</v>
      </c>
      <c r="C8">
        <v>74.5270000000001</v>
      </c>
      <c r="D8">
        <v>73.075999999999993</v>
      </c>
      <c r="E8">
        <v>73.799999999999898</v>
      </c>
      <c r="F8">
        <v>39.741999999999898</v>
      </c>
      <c r="G8">
        <v>74.445999999999998</v>
      </c>
      <c r="I8">
        <f t="shared" si="0"/>
        <v>0.81599999999990303</v>
      </c>
      <c r="J8">
        <f t="shared" si="1"/>
        <v>2.0119335272940162E-2</v>
      </c>
    </row>
    <row r="9" spans="1:13">
      <c r="A9">
        <v>1</v>
      </c>
      <c r="B9">
        <v>45.563999999999801</v>
      </c>
      <c r="C9">
        <v>70.209000000000003</v>
      </c>
      <c r="D9">
        <v>76.756999999999906</v>
      </c>
      <c r="E9">
        <v>78.9789999999999</v>
      </c>
      <c r="F9">
        <v>47.435999999999801</v>
      </c>
      <c r="G9">
        <v>68.044999999999902</v>
      </c>
      <c r="I9">
        <f t="shared" si="0"/>
        <v>-1.8719999999999999</v>
      </c>
      <c r="J9">
        <f t="shared" si="1"/>
        <v>-4.1085067158283028E-2</v>
      </c>
    </row>
    <row r="10" spans="1:13">
      <c r="A10">
        <v>2</v>
      </c>
      <c r="B10">
        <v>30.719999999999899</v>
      </c>
      <c r="C10">
        <v>71.307999999999893</v>
      </c>
      <c r="D10">
        <v>69.992000000000004</v>
      </c>
      <c r="E10">
        <v>69.992000000000004</v>
      </c>
      <c r="F10">
        <v>30.719999999999899</v>
      </c>
      <c r="G10">
        <v>71.307999999999893</v>
      </c>
      <c r="I10">
        <f t="shared" si="0"/>
        <v>0</v>
      </c>
      <c r="J10">
        <f t="shared" si="1"/>
        <v>0</v>
      </c>
    </row>
    <row r="11" spans="1:13">
      <c r="A11">
        <v>2</v>
      </c>
      <c r="B11">
        <v>46.265999999999799</v>
      </c>
      <c r="C11">
        <v>57.607999999999997</v>
      </c>
      <c r="D11">
        <v>78.956000000000003</v>
      </c>
      <c r="E11">
        <v>78.561999999999998</v>
      </c>
      <c r="F11">
        <v>45.584999999999802</v>
      </c>
      <c r="G11">
        <v>57.492999999999903</v>
      </c>
      <c r="I11">
        <f t="shared" si="0"/>
        <v>0.68099999999999739</v>
      </c>
      <c r="J11">
        <f t="shared" si="1"/>
        <v>1.4719232265594613E-2</v>
      </c>
    </row>
    <row r="12" spans="1:13">
      <c r="A12">
        <v>2</v>
      </c>
      <c r="B12">
        <v>55.327999999999797</v>
      </c>
      <c r="C12">
        <v>50.137999999999799</v>
      </c>
      <c r="D12">
        <v>84.6009999999999</v>
      </c>
      <c r="E12">
        <v>84.802999999999798</v>
      </c>
      <c r="F12">
        <v>55.489999999999803</v>
      </c>
      <c r="G12">
        <v>49.297999999999902</v>
      </c>
      <c r="I12">
        <f t="shared" si="0"/>
        <v>-0.16200000000000614</v>
      </c>
      <c r="J12">
        <f t="shared" si="1"/>
        <v>-2.9279930595721287E-3</v>
      </c>
    </row>
    <row r="13" spans="1:13">
      <c r="A13">
        <v>2</v>
      </c>
      <c r="B13">
        <v>62.942999999999898</v>
      </c>
      <c r="C13">
        <v>45.138999999999797</v>
      </c>
      <c r="D13">
        <v>90.715999999999696</v>
      </c>
      <c r="E13">
        <v>90.715999999999696</v>
      </c>
      <c r="F13">
        <v>62.942999999999898</v>
      </c>
      <c r="G13">
        <v>45.138999999999797</v>
      </c>
      <c r="I13">
        <f t="shared" si="0"/>
        <v>0</v>
      </c>
      <c r="J13">
        <f t="shared" si="1"/>
        <v>0</v>
      </c>
    </row>
    <row r="14" spans="1:13">
      <c r="A14">
        <v>3</v>
      </c>
      <c r="B14">
        <v>18.1799999999999</v>
      </c>
      <c r="C14">
        <v>92.680999999999599</v>
      </c>
      <c r="D14">
        <v>58.488999999999898</v>
      </c>
      <c r="E14">
        <v>58.488999999999898</v>
      </c>
      <c r="F14">
        <v>18.1799999999999</v>
      </c>
      <c r="G14">
        <v>92.680999999999599</v>
      </c>
      <c r="I14">
        <f t="shared" si="0"/>
        <v>0</v>
      </c>
      <c r="J14">
        <f t="shared" si="1"/>
        <v>0</v>
      </c>
    </row>
    <row r="15" spans="1:13">
      <c r="A15">
        <v>3</v>
      </c>
      <c r="B15">
        <v>32.0579999999999</v>
      </c>
      <c r="C15">
        <v>80.635999999999797</v>
      </c>
      <c r="D15">
        <v>72.223999999999904</v>
      </c>
      <c r="E15">
        <v>71.000000000000099</v>
      </c>
      <c r="F15">
        <v>29.110999999999901</v>
      </c>
      <c r="G15">
        <v>84.378999999999706</v>
      </c>
      <c r="I15">
        <f t="shared" si="0"/>
        <v>2.9469999999999992</v>
      </c>
      <c r="J15">
        <f t="shared" si="1"/>
        <v>9.1927132073117729E-2</v>
      </c>
    </row>
    <row r="16" spans="1:13">
      <c r="A16">
        <v>3</v>
      </c>
      <c r="B16">
        <v>40.8509999999999</v>
      </c>
      <c r="C16">
        <v>73.867999999999995</v>
      </c>
      <c r="D16">
        <v>78.043999999999897</v>
      </c>
      <c r="E16">
        <v>79.313999999999893</v>
      </c>
      <c r="F16">
        <v>39.168999999999897</v>
      </c>
      <c r="G16">
        <v>75.440999999999903</v>
      </c>
      <c r="I16">
        <f t="shared" si="0"/>
        <v>1.6820000000000022</v>
      </c>
      <c r="J16">
        <f t="shared" si="1"/>
        <v>4.1174022667743906E-2</v>
      </c>
    </row>
    <row r="17" spans="1:10">
      <c r="A17">
        <v>3</v>
      </c>
      <c r="B17">
        <v>48.332999999999799</v>
      </c>
      <c r="C17">
        <v>68.3479999999999</v>
      </c>
      <c r="D17">
        <v>83.994999999999706</v>
      </c>
      <c r="E17">
        <v>83.994999999999706</v>
      </c>
      <c r="F17">
        <v>48.332999999999799</v>
      </c>
      <c r="G17">
        <v>68.3479999999999</v>
      </c>
      <c r="I17">
        <f t="shared" si="0"/>
        <v>0</v>
      </c>
      <c r="J17">
        <f t="shared" si="1"/>
        <v>0</v>
      </c>
    </row>
    <row r="18" spans="1:10">
      <c r="A18">
        <v>4</v>
      </c>
      <c r="B18">
        <v>19.701999999999899</v>
      </c>
      <c r="C18">
        <v>80.002999999999801</v>
      </c>
      <c r="D18">
        <v>47.323999999999998</v>
      </c>
      <c r="E18">
        <v>46.398999999999901</v>
      </c>
      <c r="F18">
        <v>19.373999999999899</v>
      </c>
      <c r="G18">
        <v>82.267999999999901</v>
      </c>
      <c r="I18">
        <f t="shared" si="0"/>
        <v>0.3279999999999994</v>
      </c>
      <c r="J18">
        <f t="shared" si="1"/>
        <v>1.6648056034920367E-2</v>
      </c>
    </row>
    <row r="19" spans="1:10">
      <c r="A19">
        <v>4</v>
      </c>
      <c r="B19">
        <v>30.6359999999999</v>
      </c>
      <c r="C19">
        <v>69.647999999999996</v>
      </c>
      <c r="D19">
        <v>58.549999999999898</v>
      </c>
      <c r="E19">
        <v>58.6069999999999</v>
      </c>
      <c r="F19">
        <v>31.6159999999999</v>
      </c>
      <c r="G19">
        <v>68.718000000000004</v>
      </c>
      <c r="I19">
        <f t="shared" si="0"/>
        <v>-0.98000000000000043</v>
      </c>
      <c r="J19">
        <f t="shared" si="1"/>
        <v>-3.1988510249379931E-2</v>
      </c>
    </row>
    <row r="20" spans="1:10">
      <c r="A20">
        <v>4</v>
      </c>
      <c r="B20">
        <v>40.278999999999897</v>
      </c>
      <c r="C20">
        <v>59.495999999999903</v>
      </c>
      <c r="D20">
        <v>64.686000000000007</v>
      </c>
      <c r="E20">
        <v>65.272999999999996</v>
      </c>
      <c r="F20">
        <v>40.7289999999999</v>
      </c>
      <c r="G20">
        <v>60.196999999999797</v>
      </c>
      <c r="I20">
        <f t="shared" si="0"/>
        <v>-0.45000000000000284</v>
      </c>
      <c r="J20">
        <f t="shared" si="1"/>
        <v>-1.1172074778420617E-2</v>
      </c>
    </row>
    <row r="21" spans="1:10">
      <c r="A21">
        <v>4</v>
      </c>
      <c r="B21">
        <v>47.563999999999801</v>
      </c>
      <c r="C21">
        <v>53.1769999999999</v>
      </c>
      <c r="D21">
        <v>69.759</v>
      </c>
      <c r="E21">
        <v>70.677999999999898</v>
      </c>
      <c r="F21">
        <v>46.631999999999799</v>
      </c>
      <c r="G21">
        <v>54.873999999999803</v>
      </c>
      <c r="I21">
        <f t="shared" si="0"/>
        <v>0.93200000000000216</v>
      </c>
      <c r="J21">
        <f t="shared" si="1"/>
        <v>1.9594651417038225E-2</v>
      </c>
    </row>
    <row r="22" spans="1:10">
      <c r="A22">
        <v>5</v>
      </c>
      <c r="B22">
        <v>53.1799999999999</v>
      </c>
      <c r="C22">
        <v>34.232999999999898</v>
      </c>
      <c r="D22">
        <v>77.779999999999802</v>
      </c>
      <c r="E22">
        <v>78.928999999999803</v>
      </c>
      <c r="F22">
        <v>52.701999999999899</v>
      </c>
      <c r="G22">
        <v>33.619999999999997</v>
      </c>
      <c r="I22">
        <f t="shared" si="0"/>
        <v>0.47800000000000153</v>
      </c>
      <c r="J22">
        <f t="shared" si="1"/>
        <v>8.9883414817601062E-3</v>
      </c>
    </row>
    <row r="23" spans="1:10">
      <c r="A23">
        <v>5</v>
      </c>
      <c r="B23">
        <v>66.511999999999901</v>
      </c>
      <c r="C23">
        <v>23.680999999999901</v>
      </c>
      <c r="D23">
        <v>86.010999999999697</v>
      </c>
      <c r="E23">
        <v>86.010999999999697</v>
      </c>
      <c r="F23">
        <v>66.511999999999901</v>
      </c>
      <c r="G23">
        <v>23.680999999999901</v>
      </c>
      <c r="I23">
        <f t="shared" si="0"/>
        <v>0</v>
      </c>
      <c r="J23">
        <f t="shared" si="1"/>
        <v>0</v>
      </c>
    </row>
    <row r="24" spans="1:10">
      <c r="A24">
        <v>5</v>
      </c>
      <c r="B24">
        <v>75.995999999999896</v>
      </c>
      <c r="C24">
        <v>18.256999999999898</v>
      </c>
      <c r="D24">
        <v>90.595999999999606</v>
      </c>
      <c r="E24">
        <v>91.981999999999601</v>
      </c>
      <c r="F24">
        <v>74.930000000000007</v>
      </c>
      <c r="G24">
        <v>20.0139999999999</v>
      </c>
      <c r="I24">
        <f t="shared" si="0"/>
        <v>1.0659999999998888</v>
      </c>
      <c r="J24">
        <f t="shared" si="1"/>
        <v>1.402705405547516E-2</v>
      </c>
    </row>
    <row r="25" spans="1:10">
      <c r="A25">
        <v>5</v>
      </c>
      <c r="B25">
        <v>81.607999999999706</v>
      </c>
      <c r="C25">
        <v>17.870999999999899</v>
      </c>
      <c r="D25">
        <v>96.998999999999398</v>
      </c>
      <c r="E25">
        <v>95.938999999999595</v>
      </c>
      <c r="F25">
        <v>80.255999999999901</v>
      </c>
      <c r="G25">
        <v>17.838999999999899</v>
      </c>
      <c r="I25">
        <f t="shared" si="0"/>
        <v>1.3519999999998049</v>
      </c>
      <c r="J25">
        <f t="shared" si="1"/>
        <v>1.6567003234974634E-2</v>
      </c>
    </row>
    <row r="26" spans="1:10">
      <c r="A26">
        <v>6</v>
      </c>
      <c r="B26">
        <v>24.709999999999901</v>
      </c>
      <c r="C26">
        <v>84.8299999999997</v>
      </c>
      <c r="D26">
        <v>78.527999999999807</v>
      </c>
      <c r="E26">
        <v>78.821999999999903</v>
      </c>
      <c r="F26">
        <v>22.3919999999999</v>
      </c>
      <c r="G26">
        <v>87.051999999999694</v>
      </c>
      <c r="I26">
        <f t="shared" si="0"/>
        <v>2.3180000000000014</v>
      </c>
      <c r="J26">
        <f t="shared" si="1"/>
        <v>9.3808174828005284E-2</v>
      </c>
    </row>
    <row r="27" spans="1:10">
      <c r="A27">
        <v>6</v>
      </c>
      <c r="B27">
        <v>38.517999999999901</v>
      </c>
      <c r="C27">
        <v>73.430999999999997</v>
      </c>
      <c r="D27">
        <v>86.4399999999996</v>
      </c>
      <c r="E27">
        <v>85.382999999999896</v>
      </c>
      <c r="F27">
        <v>35.091999999999899</v>
      </c>
      <c r="G27">
        <v>76.406999999999897</v>
      </c>
      <c r="I27">
        <f t="shared" si="0"/>
        <v>3.4260000000000019</v>
      </c>
      <c r="J27">
        <f t="shared" si="1"/>
        <v>8.8945428111532554E-2</v>
      </c>
    </row>
    <row r="28" spans="1:10">
      <c r="A28">
        <v>6</v>
      </c>
      <c r="B28">
        <v>48.858999999999803</v>
      </c>
      <c r="C28">
        <v>65.105999999999995</v>
      </c>
      <c r="D28">
        <v>91.384999999999806</v>
      </c>
      <c r="E28">
        <v>90.531999999999599</v>
      </c>
      <c r="F28">
        <v>47.452999999999797</v>
      </c>
      <c r="G28">
        <v>66.632999999999896</v>
      </c>
      <c r="I28">
        <f t="shared" si="0"/>
        <v>1.4060000000000059</v>
      </c>
      <c r="J28">
        <f t="shared" si="1"/>
        <v>2.8776683927219378E-2</v>
      </c>
    </row>
    <row r="29" spans="1:10">
      <c r="A29">
        <v>6</v>
      </c>
      <c r="B29">
        <v>55.332999999999899</v>
      </c>
      <c r="C29">
        <v>61.523999999999802</v>
      </c>
      <c r="D29">
        <v>95.540999999999599</v>
      </c>
      <c r="E29">
        <v>95.510999999999498</v>
      </c>
      <c r="F29">
        <v>54.638999999999797</v>
      </c>
      <c r="G29">
        <v>62.760999999999903</v>
      </c>
      <c r="I29">
        <f t="shared" si="0"/>
        <v>0.69400000000010209</v>
      </c>
      <c r="J29">
        <f t="shared" si="1"/>
        <v>1.2542244230388798E-2</v>
      </c>
    </row>
    <row r="30" spans="1:10">
      <c r="A30">
        <v>7</v>
      </c>
      <c r="B30">
        <v>31.136999999999901</v>
      </c>
      <c r="C30">
        <v>66.846999999999994</v>
      </c>
      <c r="D30">
        <v>67.670000000000101</v>
      </c>
      <c r="E30">
        <v>70.181999999999903</v>
      </c>
      <c r="F30">
        <v>32.791999999999902</v>
      </c>
      <c r="G30">
        <v>65.069000000000102</v>
      </c>
      <c r="I30">
        <f t="shared" si="0"/>
        <v>-1.6550000000000011</v>
      </c>
      <c r="J30">
        <f t="shared" si="1"/>
        <v>-5.3152198349231024E-2</v>
      </c>
    </row>
    <row r="31" spans="1:10">
      <c r="A31">
        <v>7</v>
      </c>
      <c r="B31">
        <v>49.691999999999901</v>
      </c>
      <c r="C31">
        <v>53.129999999999903</v>
      </c>
      <c r="D31">
        <v>80.457999999999799</v>
      </c>
      <c r="E31">
        <v>80.635999999999896</v>
      </c>
      <c r="F31">
        <v>48.1989999999997</v>
      </c>
      <c r="G31">
        <v>53.505999999999901</v>
      </c>
      <c r="I31">
        <f t="shared" si="0"/>
        <v>1.4930000000002011</v>
      </c>
      <c r="J31">
        <f t="shared" si="1"/>
        <v>3.0045077678503663E-2</v>
      </c>
    </row>
    <row r="32" spans="1:10">
      <c r="A32">
        <v>7</v>
      </c>
      <c r="B32">
        <v>59.870999999999803</v>
      </c>
      <c r="C32">
        <v>45.448999999999899</v>
      </c>
      <c r="D32">
        <v>86.708999999999605</v>
      </c>
      <c r="E32">
        <v>87.601999999999606</v>
      </c>
      <c r="F32">
        <v>60.377999999999901</v>
      </c>
      <c r="G32">
        <v>45.883999999999801</v>
      </c>
      <c r="I32">
        <f t="shared" si="0"/>
        <v>-0.50700000000009737</v>
      </c>
      <c r="J32">
        <f t="shared" si="1"/>
        <v>-8.4682066442868676E-3</v>
      </c>
    </row>
    <row r="33" spans="1:10">
      <c r="A33">
        <v>7</v>
      </c>
      <c r="B33">
        <v>68.303999999999903</v>
      </c>
      <c r="C33">
        <v>40.3419999999998</v>
      </c>
      <c r="D33">
        <v>92.497999999999607</v>
      </c>
      <c r="E33">
        <v>92.497999999999607</v>
      </c>
      <c r="F33">
        <v>68.303999999999903</v>
      </c>
      <c r="G33">
        <v>40.3419999999998</v>
      </c>
      <c r="I33">
        <f t="shared" si="0"/>
        <v>0</v>
      </c>
      <c r="J33">
        <f t="shared" si="1"/>
        <v>0</v>
      </c>
    </row>
    <row r="34" spans="1:10">
      <c r="A34">
        <v>8</v>
      </c>
      <c r="B34">
        <v>41.694999999999901</v>
      </c>
      <c r="C34">
        <v>51.348999999999997</v>
      </c>
      <c r="D34">
        <v>74.250999999999905</v>
      </c>
      <c r="E34">
        <v>75.326999999999998</v>
      </c>
      <c r="F34">
        <v>43.427999999999898</v>
      </c>
      <c r="G34">
        <v>50.016999999999904</v>
      </c>
      <c r="I34">
        <f t="shared" si="0"/>
        <v>-1.732999999999997</v>
      </c>
      <c r="J34">
        <f t="shared" si="1"/>
        <v>-4.1563736659071857E-2</v>
      </c>
    </row>
    <row r="35" spans="1:10">
      <c r="A35">
        <v>8</v>
      </c>
      <c r="B35">
        <v>62.896999999999998</v>
      </c>
      <c r="C35">
        <v>35.284999999999897</v>
      </c>
      <c r="D35">
        <v>86.745999999999796</v>
      </c>
      <c r="E35">
        <v>88.474999999999696</v>
      </c>
      <c r="F35">
        <v>64.975999999999999</v>
      </c>
      <c r="G35">
        <v>34.905999999999899</v>
      </c>
      <c r="I35">
        <f t="shared" si="0"/>
        <v>-2.0790000000000006</v>
      </c>
      <c r="J35">
        <f t="shared" si="1"/>
        <v>-3.3054040733262326E-2</v>
      </c>
    </row>
    <row r="36" spans="1:10">
      <c r="A36">
        <v>8</v>
      </c>
      <c r="B36">
        <v>74.454999999999998</v>
      </c>
      <c r="C36">
        <v>29.064999999999898</v>
      </c>
      <c r="D36">
        <v>94.701999999999501</v>
      </c>
      <c r="E36">
        <v>94.701999999999501</v>
      </c>
      <c r="F36">
        <v>74.454999999999998</v>
      </c>
      <c r="G36">
        <v>29.064999999999898</v>
      </c>
      <c r="I36">
        <f t="shared" si="0"/>
        <v>0</v>
      </c>
      <c r="J36">
        <f t="shared" si="1"/>
        <v>0</v>
      </c>
    </row>
    <row r="37" spans="1:10">
      <c r="A37">
        <v>8</v>
      </c>
      <c r="B37">
        <v>81.575999999999794</v>
      </c>
      <c r="C37">
        <v>25.5489999999999</v>
      </c>
      <c r="D37">
        <v>98.194999999999595</v>
      </c>
      <c r="E37">
        <v>98.194999999999595</v>
      </c>
      <c r="F37">
        <v>81.575999999999794</v>
      </c>
      <c r="G37">
        <v>25.5489999999999</v>
      </c>
      <c r="I37">
        <f t="shared" si="0"/>
        <v>0</v>
      </c>
      <c r="J37">
        <f t="shared" si="1"/>
        <v>0</v>
      </c>
    </row>
  </sheetData>
  <phoneticPr fontId="1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お互いにDP(cm16_user_p1)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カオリ オガワ</cp:lastModifiedBy>
  <dcterms:modified xsi:type="dcterms:W3CDTF">2026-06-17T11:37:51Z</dcterms:modified>
</cp:coreProperties>
</file>