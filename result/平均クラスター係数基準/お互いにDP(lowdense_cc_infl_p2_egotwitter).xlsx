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D3EA8B60-A203-8C40-99B6-11094D26E654}" xr6:coauthVersionLast="47" xr6:coauthVersionMax="47" xr10:uidLastSave="{00000000-0000-0000-0000-000000000000}"/>
  <bookViews>
    <workbookView xWindow="3060" yWindow="1940" windowWidth="27500" windowHeight="16360" xr2:uid="{A37C2768-C248-5041-856C-E2463CC20C5F}"/>
  </bookViews>
  <sheets>
    <sheet name="お互いにDP(lowdense_cc_infl_p2" sheetId="3" r:id="rId1"/>
    <sheet name="Sheet1" sheetId="1" r:id="rId2"/>
  </sheets>
  <definedNames>
    <definedName name="ExternalData_2" localSheetId="0" hidden="1">'お互いにDP(lowdense_cc_infl_p2'!$A$1:$G$37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I3" i="3"/>
  <c r="I4" i="3"/>
  <c r="I5" i="3"/>
  <c r="I6" i="3"/>
  <c r="I7" i="3"/>
  <c r="I8" i="3"/>
  <c r="I9" i="3"/>
  <c r="M3" i="3" s="1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2" i="3"/>
  <c r="J2" i="3" s="1"/>
  <c r="M1" i="3" l="1"/>
  <c r="M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D46ED9-DDE2-CB4F-883F-E5B5AA1BF252}" keepAlive="1" name="クエリ - お互いにDP(lowdense_cc_infl_p2_egotwitter)" description="ブック内の 'お互いにDP(lowdense_cc_infl_p2_egotwitter)' クエリへの接続です。" type="5" refreshedVersion="8" background="1" saveData="1">
    <dbPr connection="Provider=Microsoft.Mashup.OleDb.1;Data Source=$Workbook$;Location=お互いにDP(lowdense_cc_infl_p2_egotwitter);Extended Properties=&quot;&quot;" command="SELECT * FROM [お互いにDP(lowdense_cc_infl_p2_egotwitter)]"/>
  </connection>
  <connection id="2" xr16:uid="{A848F1F6-7DC5-4646-8486-215D129DFF0E}" keepAlive="1" name="クエリ - お互いにDP(lowdense_cc_infl_p2_egotwitter) (2)" description="ブック内の 'お互いにDP(lowdense_cc_infl_p2_egotwitter) (2)' クエリへの接続です。" type="5" refreshedVersion="8" background="1" saveData="1">
    <dbPr connection="Provider=Microsoft.Mashup.OleDb.1;Data Source=$Workbook$;Location=&quot;お互いにDP(lowdense_cc_infl_p2_egotwitter) (2)&quot;;Extended Properties=&quot;&quot;" command="SELECT * FROM [お互いにDP(lowdense_cc_infl_p2_egotwitter) (2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<sst xmlns="http://schemas.openxmlformats.org/spreadsheetml/2006/main" count="12" uniqueCount="12">
  <si>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</si>
  <si>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</si>
  <si>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</si>
  <si>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</si>
  <si>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</si>
  <si>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</si>
  <si>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</si>
  <si>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rPh sb="3" eb="6">
      <t>ユウイ</t>
    </rPh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</si>
  <si>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</si>
  <si>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</si>
  <si>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</si>
  <si>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イッチル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</si>
</sst>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987354E-F0A3-CA49-A777-8302E6E881DB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6058F1-CFE6-E74E-96B6-71DD2561A9C0}" name="お互いにDP_lowdense_cc_infl_p2_egotwitter___2" displayName="お互いにDP_lowdense_cc_infl_p2_egotwitter___2" ref="A1:G37" tableType="queryTable" totalsRowShown="0">
  <autoFilter ref="A1:G37" xr:uid="{056058F1-CFE6-E74E-96B6-71DD2561A9C0}"/>
  <tableColumns count="7">
    <tableColumn id="1" xr3:uid="{627DF171-71F3-F848-A26B-1C5087DEF214}" uniqueName="1" name="Seed" queryTableFieldId="1"/>
    <tableColumn id="2" xr3:uid="{76EEE4F7-2821-6C41-8036-FD72D1D5B752}" uniqueName="2" name="ありの解" queryTableFieldId="2"/>
    <tableColumn id="3" xr3:uid="{830601C0-3862-0B4D-8C1C-D9A92AD7106E}" uniqueName="3" name="ありの解2" queryTableFieldId="3"/>
    <tableColumn id="4" xr3:uid="{DEE9A33B-AA87-214F-9727-C54EB56ED51A}" uniqueName="4" name="ありをなし" queryTableFieldId="4"/>
    <tableColumn id="5" xr3:uid="{FAC1CE39-D136-A541-8AAE-3F2815B93215}" uniqueName="5" name="なしの解" queryTableFieldId="5"/>
    <tableColumn id="6" xr3:uid="{CDE41C49-AFFF-A242-9A0E-93E9F46FAADB}" uniqueName="6" name="なしの解をアリ" queryTableFieldId="6"/>
    <tableColumn id="7" xr3:uid="{6A05C43E-6D54-AA43-92DD-9CDA882351DF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A7FA-95E5-5F41-B814-593EDFA88914}">
  <dimension ref="A1:M37"/>
  <sheetViews>
    <sheetView tabSelected="1" workbookViewId="0">
      <selection activeCell="M24" sqref="M24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2.7096970619574945E-2</v>
      </c>
    </row>
    <row r="2" spans="1:13">
      <c r="A2">
        <v>0</v>
      </c>
      <c r="B2">
        <v>82.322999999999837</v>
      </c>
      <c r="C2">
        <v>4.6279999999999548</v>
      </c>
      <c r="D2">
        <v>84.311999999999856</v>
      </c>
      <c r="E2">
        <v>83.434999999999832</v>
      </c>
      <c r="F2">
        <v>82.00999999999982</v>
      </c>
      <c r="G2">
        <v>3.9599999999999476</v>
      </c>
      <c r="I2">
        <f>B2-F2</f>
        <v>0.3130000000000166</v>
      </c>
      <c r="J2" s="1">
        <f>I2/B2</f>
        <v>3.8020966194139819E-3</v>
      </c>
      <c r="L2" t="s">
        <v>10</v>
      </c>
      <c r="M2" s="2">
        <f>AVERAGE(J2:J37)</f>
        <v>2.1255839780133456E-3</v>
      </c>
    </row>
    <row r="3" spans="1:13">
      <c r="A3">
        <v>0</v>
      </c>
      <c r="B3">
        <v>116.34599999999985</v>
      </c>
      <c r="C3">
        <v>3.0959999999999481</v>
      </c>
      <c r="D3">
        <v>117.86699999999982</v>
      </c>
      <c r="E3">
        <v>118.40499999999972</v>
      </c>
      <c r="F3">
        <v>116.5799999999997</v>
      </c>
      <c r="G3">
        <v>2.8829999999999485</v>
      </c>
      <c r="I3">
        <f t="shared" ref="I3:I37" si="0">B3-F3</f>
        <v>-0.23399999999985255</v>
      </c>
      <c r="J3" s="1">
        <f t="shared" ref="J3:J37" si="1">I3/B3</f>
        <v>-2.0112423289142117E-3</v>
      </c>
      <c r="L3" t="s">
        <v>11</v>
      </c>
      <c r="M3" s="1">
        <f>COUNTIF(I2:I37,0)/COUNT(I2:I37)</f>
        <v>0</v>
      </c>
    </row>
    <row r="4" spans="1:13">
      <c r="A4">
        <v>0</v>
      </c>
      <c r="B4">
        <v>134.77200000000022</v>
      </c>
      <c r="C4">
        <v>2.3289999999999571</v>
      </c>
      <c r="D4">
        <v>136.47500000000019</v>
      </c>
      <c r="E4">
        <v>135.46700000000007</v>
      </c>
      <c r="F4">
        <v>133.74900000000008</v>
      </c>
      <c r="G4">
        <v>2.6749999999999519</v>
      </c>
      <c r="I4">
        <f t="shared" si="0"/>
        <v>1.0230000000001382</v>
      </c>
      <c r="J4" s="1">
        <f t="shared" si="1"/>
        <v>7.5905974534779966E-3</v>
      </c>
    </row>
    <row r="5" spans="1:13">
      <c r="A5">
        <v>0</v>
      </c>
      <c r="B5">
        <v>144.82800000000017</v>
      </c>
      <c r="C5">
        <v>1.860999999999964</v>
      </c>
      <c r="D5">
        <v>146.30200000000033</v>
      </c>
      <c r="E5">
        <v>146.52100000000004</v>
      </c>
      <c r="F5">
        <v>144.92200000000051</v>
      </c>
      <c r="G5">
        <v>1.8009999999999691</v>
      </c>
      <c r="I5">
        <f t="shared" si="0"/>
        <v>-9.4000000000335149E-2</v>
      </c>
      <c r="J5" s="1">
        <f t="shared" si="1"/>
        <v>-6.4904576463346202E-4</v>
      </c>
    </row>
    <row r="6" spans="1:13">
      <c r="A6">
        <v>1</v>
      </c>
      <c r="B6">
        <v>91.965999999999639</v>
      </c>
      <c r="C6">
        <v>4.8979999999999517</v>
      </c>
      <c r="D6">
        <v>94.276999999999703</v>
      </c>
      <c r="E6">
        <v>92.002999999999616</v>
      </c>
      <c r="F6">
        <v>89.473999999999819</v>
      </c>
      <c r="G6">
        <v>4.8509999999999449</v>
      </c>
      <c r="I6">
        <f t="shared" si="0"/>
        <v>2.4919999999998197</v>
      </c>
      <c r="J6" s="1">
        <f t="shared" si="1"/>
        <v>2.7096970619574945E-2</v>
      </c>
    </row>
    <row r="7" spans="1:13">
      <c r="A7">
        <v>1</v>
      </c>
      <c r="B7">
        <v>126.49900000000002</v>
      </c>
      <c r="C7">
        <v>3.4089999999999523</v>
      </c>
      <c r="D7">
        <v>128.59800000000018</v>
      </c>
      <c r="E7">
        <v>128.25500000000005</v>
      </c>
      <c r="F7">
        <v>126.27599999999987</v>
      </c>
      <c r="G7">
        <v>3.5309999999999562</v>
      </c>
      <c r="I7">
        <f t="shared" si="0"/>
        <v>0.2230000000001553</v>
      </c>
      <c r="J7" s="1">
        <f t="shared" si="1"/>
        <v>1.7628597854540766E-3</v>
      </c>
    </row>
    <row r="8" spans="1:13">
      <c r="A8">
        <v>1</v>
      </c>
      <c r="B8">
        <v>144.83900000000025</v>
      </c>
      <c r="C8">
        <v>1.9829999999999683</v>
      </c>
      <c r="D8">
        <v>146.16700000000026</v>
      </c>
      <c r="E8">
        <v>146.12200000000024</v>
      </c>
      <c r="F8">
        <v>144.47000000000017</v>
      </c>
      <c r="G8">
        <v>2.1719999999999646</v>
      </c>
      <c r="I8">
        <f t="shared" si="0"/>
        <v>0.36900000000008504</v>
      </c>
      <c r="J8" s="1">
        <f t="shared" si="1"/>
        <v>2.5476563632729058E-3</v>
      </c>
    </row>
    <row r="9" spans="1:13">
      <c r="A9">
        <v>1</v>
      </c>
      <c r="B9">
        <v>152.63300000000038</v>
      </c>
      <c r="C9">
        <v>1.4249999999999741</v>
      </c>
      <c r="D9">
        <v>153.72500000000034</v>
      </c>
      <c r="E9">
        <v>153.62000000000035</v>
      </c>
      <c r="F9">
        <v>152.29800000000031</v>
      </c>
      <c r="G9">
        <v>1.6189999999999731</v>
      </c>
      <c r="I9">
        <f t="shared" si="0"/>
        <v>0.3350000000000648</v>
      </c>
      <c r="J9" s="1">
        <f t="shared" si="1"/>
        <v>2.1948071517959022E-3</v>
      </c>
    </row>
    <row r="10" spans="1:13">
      <c r="A10">
        <v>2</v>
      </c>
      <c r="B10">
        <v>87.345999999999805</v>
      </c>
      <c r="C10">
        <v>3.4399999999999524</v>
      </c>
      <c r="D10">
        <v>89.276999999999774</v>
      </c>
      <c r="E10">
        <v>90.953999999999695</v>
      </c>
      <c r="F10">
        <v>88.573999999999771</v>
      </c>
      <c r="G10">
        <v>3.6489999999999494</v>
      </c>
      <c r="I10">
        <f t="shared" si="0"/>
        <v>-1.227999999999966</v>
      </c>
      <c r="J10" s="1">
        <f t="shared" si="1"/>
        <v>-1.4059029606392609E-2</v>
      </c>
    </row>
    <row r="11" spans="1:13">
      <c r="A11">
        <v>2</v>
      </c>
      <c r="B11">
        <v>123.47199999999995</v>
      </c>
      <c r="C11">
        <v>2.5149999999999548</v>
      </c>
      <c r="D11">
        <v>125.00200000000004</v>
      </c>
      <c r="E11">
        <v>125.60699999999984</v>
      </c>
      <c r="F11">
        <v>124.09499999999994</v>
      </c>
      <c r="G11">
        <v>2.2869999999999551</v>
      </c>
      <c r="I11">
        <f t="shared" si="0"/>
        <v>-0.62299999999999045</v>
      </c>
      <c r="J11" s="1">
        <f t="shared" si="1"/>
        <v>-5.0456783724244416E-3</v>
      </c>
    </row>
    <row r="12" spans="1:13">
      <c r="A12">
        <v>2</v>
      </c>
      <c r="B12">
        <v>141.06700000000021</v>
      </c>
      <c r="C12">
        <v>1.6749999999999712</v>
      </c>
      <c r="D12">
        <v>142.13500000000025</v>
      </c>
      <c r="E12">
        <v>141.85400000000013</v>
      </c>
      <c r="F12">
        <v>140.63000000000008</v>
      </c>
      <c r="G12">
        <v>1.72999999999997</v>
      </c>
      <c r="I12">
        <f t="shared" si="0"/>
        <v>0.43700000000012551</v>
      </c>
      <c r="J12" s="1">
        <f t="shared" si="1"/>
        <v>3.0978187669697724E-3</v>
      </c>
    </row>
    <row r="13" spans="1:13">
      <c r="A13">
        <v>2</v>
      </c>
      <c r="B13">
        <v>149.25400000000036</v>
      </c>
      <c r="C13">
        <v>1.3889999999999754</v>
      </c>
      <c r="D13">
        <v>150.38200000000046</v>
      </c>
      <c r="E13">
        <v>151.47800000000024</v>
      </c>
      <c r="F13">
        <v>150.30400000000043</v>
      </c>
      <c r="G13">
        <v>1.5149999999999715</v>
      </c>
      <c r="I13">
        <f t="shared" si="0"/>
        <v>-1.0500000000000682</v>
      </c>
      <c r="J13" s="1">
        <f t="shared" si="1"/>
        <v>-7.0349873370232335E-3</v>
      </c>
    </row>
    <row r="14" spans="1:13">
      <c r="A14">
        <v>3</v>
      </c>
      <c r="B14">
        <v>88.505999999999716</v>
      </c>
      <c r="C14">
        <v>2.6119999999999477</v>
      </c>
      <c r="D14">
        <v>89.089999999999776</v>
      </c>
      <c r="E14">
        <v>88.389999999999816</v>
      </c>
      <c r="F14">
        <v>87.170999999999822</v>
      </c>
      <c r="G14">
        <v>2.6539999999999511</v>
      </c>
      <c r="I14">
        <f t="shared" si="0"/>
        <v>1.3349999999998943</v>
      </c>
      <c r="J14" s="1">
        <f t="shared" si="1"/>
        <v>1.5083723137413267E-2</v>
      </c>
    </row>
    <row r="15" spans="1:13">
      <c r="A15">
        <v>3</v>
      </c>
      <c r="B15">
        <v>121.43599999999988</v>
      </c>
      <c r="C15">
        <v>2.0719999999999605</v>
      </c>
      <c r="D15">
        <v>122.52099999999997</v>
      </c>
      <c r="E15">
        <v>122.54299999999995</v>
      </c>
      <c r="F15">
        <v>121.04199999999989</v>
      </c>
      <c r="G15">
        <v>1.8609999999999605</v>
      </c>
      <c r="I15">
        <f t="shared" si="0"/>
        <v>0.39399999999999125</v>
      </c>
      <c r="J15" s="1">
        <f t="shared" si="1"/>
        <v>3.2445073948416583E-3</v>
      </c>
    </row>
    <row r="16" spans="1:13">
      <c r="A16">
        <v>3</v>
      </c>
      <c r="B16">
        <v>137.26400000000027</v>
      </c>
      <c r="C16">
        <v>1.6799999999999682</v>
      </c>
      <c r="D16">
        <v>138.71000000000021</v>
      </c>
      <c r="E16">
        <v>138.58900000000034</v>
      </c>
      <c r="F16">
        <v>137.31100000000018</v>
      </c>
      <c r="G16">
        <v>1.5509999999999706</v>
      </c>
      <c r="I16">
        <f t="shared" si="0"/>
        <v>-4.6999999999911779E-2</v>
      </c>
      <c r="J16" s="1">
        <f t="shared" si="1"/>
        <v>-3.4240587480994063E-4</v>
      </c>
    </row>
    <row r="17" spans="1:10">
      <c r="A17">
        <v>3</v>
      </c>
      <c r="B17">
        <v>146.98000000000036</v>
      </c>
      <c r="C17">
        <v>1.314999999999978</v>
      </c>
      <c r="D17">
        <v>148.18700000000018</v>
      </c>
      <c r="E17">
        <v>147.4950000000004</v>
      </c>
      <c r="F17">
        <v>146.56400000000036</v>
      </c>
      <c r="G17">
        <v>1.3669999999999771</v>
      </c>
      <c r="I17">
        <f t="shared" si="0"/>
        <v>0.41599999999999682</v>
      </c>
      <c r="J17" s="1">
        <f t="shared" si="1"/>
        <v>2.8303170499387386E-3</v>
      </c>
    </row>
    <row r="18" spans="1:10">
      <c r="A18">
        <v>4</v>
      </c>
      <c r="B18">
        <v>93.704999999999544</v>
      </c>
      <c r="C18">
        <v>2.1549999999999576</v>
      </c>
      <c r="D18">
        <v>94.945999999999543</v>
      </c>
      <c r="E18">
        <v>94.54599999999968</v>
      </c>
      <c r="F18">
        <v>93.21199999999979</v>
      </c>
      <c r="G18">
        <v>1.9769999999999619</v>
      </c>
      <c r="I18">
        <f t="shared" si="0"/>
        <v>0.49299999999975341</v>
      </c>
      <c r="J18" s="1">
        <f t="shared" si="1"/>
        <v>5.2611920388427064E-3</v>
      </c>
    </row>
    <row r="19" spans="1:10">
      <c r="A19">
        <v>4</v>
      </c>
      <c r="B19">
        <v>131.88000000000005</v>
      </c>
      <c r="C19">
        <v>1.5349999999999724</v>
      </c>
      <c r="D19">
        <v>132.92500000000015</v>
      </c>
      <c r="E19">
        <v>131.44399999999996</v>
      </c>
      <c r="F19">
        <v>130.40200000000007</v>
      </c>
      <c r="G19">
        <v>1.6099999999999708</v>
      </c>
      <c r="I19">
        <f t="shared" si="0"/>
        <v>1.4779999999999802</v>
      </c>
      <c r="J19" s="1">
        <f t="shared" si="1"/>
        <v>1.1207158022444492E-2</v>
      </c>
    </row>
    <row r="20" spans="1:10">
      <c r="A20">
        <v>4</v>
      </c>
      <c r="B20">
        <v>147.80000000000044</v>
      </c>
      <c r="C20">
        <v>1.2909999999999819</v>
      </c>
      <c r="D20">
        <v>148.73900000000052</v>
      </c>
      <c r="E20">
        <v>149.38000000000045</v>
      </c>
      <c r="F20">
        <v>148.36500000000035</v>
      </c>
      <c r="G20">
        <v>1.3639999999999777</v>
      </c>
      <c r="I20">
        <f t="shared" si="0"/>
        <v>-0.56499999999991246</v>
      </c>
      <c r="J20" s="1">
        <f t="shared" si="1"/>
        <v>-3.822733423544728E-3</v>
      </c>
    </row>
    <row r="21" spans="1:10">
      <c r="A21">
        <v>4</v>
      </c>
      <c r="B21">
        <v>154.44200000000046</v>
      </c>
      <c r="C21">
        <v>1.0859999999999927</v>
      </c>
      <c r="D21">
        <v>155.28900000000044</v>
      </c>
      <c r="E21">
        <v>155.4700000000004</v>
      </c>
      <c r="F21">
        <v>154.52700000000016</v>
      </c>
      <c r="G21">
        <v>1.1109999999999907</v>
      </c>
      <c r="I21">
        <f t="shared" si="0"/>
        <v>-8.4999999999695319E-2</v>
      </c>
      <c r="J21" s="1">
        <f t="shared" si="1"/>
        <v>-5.5036842309536958E-4</v>
      </c>
    </row>
    <row r="22" spans="1:10">
      <c r="A22">
        <v>5</v>
      </c>
      <c r="B22">
        <v>84.854999999999805</v>
      </c>
      <c r="C22">
        <v>5.1249999999999574</v>
      </c>
      <c r="D22">
        <v>86.825999999999922</v>
      </c>
      <c r="E22">
        <v>87.808999999999799</v>
      </c>
      <c r="F22">
        <v>85.061999999999685</v>
      </c>
      <c r="G22">
        <v>5.0199999999999552</v>
      </c>
      <c r="I22">
        <f t="shared" si="0"/>
        <v>-0.20699999999987995</v>
      </c>
      <c r="J22" s="1">
        <f t="shared" si="1"/>
        <v>-2.4394555418052019E-3</v>
      </c>
    </row>
    <row r="23" spans="1:10">
      <c r="A23">
        <v>5</v>
      </c>
      <c r="B23">
        <v>121.6139999999999</v>
      </c>
      <c r="C23">
        <v>3.4559999999999609</v>
      </c>
      <c r="D23">
        <v>123.88599999999985</v>
      </c>
      <c r="E23">
        <v>123.35999999999986</v>
      </c>
      <c r="F23">
        <v>121.16199999999996</v>
      </c>
      <c r="G23">
        <v>3.5929999999999613</v>
      </c>
      <c r="I23">
        <f t="shared" si="0"/>
        <v>0.45199999999994134</v>
      </c>
      <c r="J23" s="1">
        <f t="shared" si="1"/>
        <v>3.7166773562249552E-3</v>
      </c>
    </row>
    <row r="24" spans="1:10">
      <c r="A24">
        <v>5</v>
      </c>
      <c r="B24">
        <v>139.33200000000011</v>
      </c>
      <c r="C24">
        <v>2.3589999999999596</v>
      </c>
      <c r="D24">
        <v>141.04600000000022</v>
      </c>
      <c r="E24">
        <v>141.27700000000021</v>
      </c>
      <c r="F24">
        <v>139.43200000000036</v>
      </c>
      <c r="G24">
        <v>2.4769999999999586</v>
      </c>
      <c r="I24">
        <f t="shared" si="0"/>
        <v>-0.10000000000025011</v>
      </c>
      <c r="J24" s="1">
        <f t="shared" si="1"/>
        <v>-7.1771021732444835E-4</v>
      </c>
    </row>
    <row r="25" spans="1:10">
      <c r="A25">
        <v>5</v>
      </c>
      <c r="B25">
        <v>149.57</v>
      </c>
      <c r="C25">
        <v>1.6849999999999716</v>
      </c>
      <c r="D25">
        <v>151.12900000000033</v>
      </c>
      <c r="E25">
        <v>151.18000000000029</v>
      </c>
      <c r="F25">
        <v>149.7140000000004</v>
      </c>
      <c r="G25">
        <v>1.8439999999999721</v>
      </c>
      <c r="I25">
        <f t="shared" si="0"/>
        <v>-0.14400000000040336</v>
      </c>
      <c r="J25" s="1">
        <f t="shared" si="1"/>
        <v>-9.6275991174970491E-4</v>
      </c>
    </row>
    <row r="26" spans="1:10">
      <c r="A26">
        <v>6</v>
      </c>
      <c r="B26">
        <v>93.986999999999654</v>
      </c>
      <c r="C26">
        <v>2.3499999999999539</v>
      </c>
      <c r="D26">
        <v>94.72899999999963</v>
      </c>
      <c r="E26">
        <v>93.609999999999559</v>
      </c>
      <c r="F26">
        <v>92.38999999999966</v>
      </c>
      <c r="G26">
        <v>2.2959999999999559</v>
      </c>
      <c r="I26">
        <f t="shared" si="0"/>
        <v>1.5969999999999942</v>
      </c>
      <c r="J26" s="1">
        <f t="shared" si="1"/>
        <v>1.6991711619692085E-2</v>
      </c>
    </row>
    <row r="27" spans="1:10">
      <c r="A27">
        <v>6</v>
      </c>
      <c r="B27">
        <v>129.18900000000008</v>
      </c>
      <c r="C27">
        <v>1.7579999999999656</v>
      </c>
      <c r="D27">
        <v>130.37899999999991</v>
      </c>
      <c r="E27">
        <v>130.26700000000008</v>
      </c>
      <c r="F27">
        <v>129.19800000000001</v>
      </c>
      <c r="G27">
        <v>1.6529999999999678</v>
      </c>
      <c r="I27">
        <f t="shared" si="0"/>
        <v>-8.9999999999292868E-3</v>
      </c>
      <c r="J27" s="1">
        <f t="shared" si="1"/>
        <v>-6.9665373986401951E-5</v>
      </c>
    </row>
    <row r="28" spans="1:10">
      <c r="A28">
        <v>6</v>
      </c>
      <c r="B28">
        <v>145.32500000000044</v>
      </c>
      <c r="C28">
        <v>1.3059999999999798</v>
      </c>
      <c r="D28">
        <v>146.25100000000035</v>
      </c>
      <c r="E28">
        <v>146.46100000000033</v>
      </c>
      <c r="F28">
        <v>145.33700000000042</v>
      </c>
      <c r="G28">
        <v>1.3329999999999793</v>
      </c>
      <c r="I28">
        <f t="shared" si="0"/>
        <v>-1.1999999999972033E-2</v>
      </c>
      <c r="J28" s="1">
        <f t="shared" si="1"/>
        <v>-8.2573542060705292E-5</v>
      </c>
    </row>
    <row r="29" spans="1:10">
      <c r="A29">
        <v>6</v>
      </c>
      <c r="B29">
        <v>153.33900000000023</v>
      </c>
      <c r="C29">
        <v>1.1919999999999846</v>
      </c>
      <c r="D29">
        <v>154.20200000000031</v>
      </c>
      <c r="E29">
        <v>154.62400000000028</v>
      </c>
      <c r="F29">
        <v>153.77000000000044</v>
      </c>
      <c r="G29">
        <v>1.1099999999999908</v>
      </c>
      <c r="I29">
        <f t="shared" si="0"/>
        <v>-0.43100000000021055</v>
      </c>
      <c r="J29" s="1">
        <f t="shared" si="1"/>
        <v>-2.8107656890954675E-3</v>
      </c>
    </row>
    <row r="30" spans="1:10">
      <c r="A30">
        <v>7</v>
      </c>
      <c r="B30">
        <v>88.711999999999705</v>
      </c>
      <c r="C30">
        <v>5.7249999999999623</v>
      </c>
      <c r="D30">
        <v>91.055999999999841</v>
      </c>
      <c r="E30">
        <v>91.941999999999666</v>
      </c>
      <c r="F30">
        <v>89.436999999999884</v>
      </c>
      <c r="G30">
        <v>5.2599999999999598</v>
      </c>
      <c r="I30">
        <f t="shared" si="0"/>
        <v>-0.72500000000017906</v>
      </c>
      <c r="J30" s="1">
        <f t="shared" si="1"/>
        <v>-8.17251330147197E-3</v>
      </c>
    </row>
    <row r="31" spans="1:10">
      <c r="A31">
        <v>7</v>
      </c>
      <c r="B31">
        <v>124.649</v>
      </c>
      <c r="C31">
        <v>2.8959999999999546</v>
      </c>
      <c r="D31">
        <v>126.39100000000016</v>
      </c>
      <c r="E31">
        <v>126.69200000000008</v>
      </c>
      <c r="F31">
        <v>124.57899999999998</v>
      </c>
      <c r="G31">
        <v>3.6259999999999573</v>
      </c>
      <c r="I31">
        <f t="shared" si="0"/>
        <v>7.00000000000216E-2</v>
      </c>
      <c r="J31" s="1">
        <f t="shared" si="1"/>
        <v>5.6157690795771806E-4</v>
      </c>
    </row>
    <row r="32" spans="1:10">
      <c r="A32">
        <v>7</v>
      </c>
      <c r="B32">
        <v>141.88000000000034</v>
      </c>
      <c r="C32">
        <v>2.3029999999999609</v>
      </c>
      <c r="D32">
        <v>143.30500000000038</v>
      </c>
      <c r="E32">
        <v>143.81600000000014</v>
      </c>
      <c r="F32">
        <v>141.66500000000013</v>
      </c>
      <c r="G32">
        <v>2.7889999999999553</v>
      </c>
      <c r="I32">
        <f t="shared" si="0"/>
        <v>0.21500000000020236</v>
      </c>
      <c r="J32" s="1">
        <f t="shared" si="1"/>
        <v>1.5153650972667173E-3</v>
      </c>
    </row>
    <row r="33" spans="1:10">
      <c r="A33">
        <v>7</v>
      </c>
      <c r="B33">
        <v>151.11500000000052</v>
      </c>
      <c r="C33">
        <v>1.5719999999999719</v>
      </c>
      <c r="D33">
        <v>152.21900000000051</v>
      </c>
      <c r="E33">
        <v>152.76700000000031</v>
      </c>
      <c r="F33">
        <v>151.32900000000026</v>
      </c>
      <c r="G33">
        <v>1.9079999999999697</v>
      </c>
      <c r="I33">
        <f t="shared" si="0"/>
        <v>-0.21399999999974284</v>
      </c>
      <c r="J33" s="1">
        <f t="shared" si="1"/>
        <v>-1.4161400258064527E-3</v>
      </c>
    </row>
    <row r="34" spans="1:10">
      <c r="A34">
        <v>8</v>
      </c>
      <c r="B34">
        <v>93.308999999999742</v>
      </c>
      <c r="C34">
        <v>4.7239999999999522</v>
      </c>
      <c r="D34">
        <v>95.14999999999975</v>
      </c>
      <c r="E34">
        <v>93.985999999999564</v>
      </c>
      <c r="F34">
        <v>91.878999999999778</v>
      </c>
      <c r="G34">
        <v>5.5209999999999635</v>
      </c>
      <c r="I34">
        <f t="shared" si="0"/>
        <v>1.4299999999999642</v>
      </c>
      <c r="J34" s="1">
        <f t="shared" si="1"/>
        <v>1.5325424128433143E-2</v>
      </c>
    </row>
    <row r="35" spans="1:10">
      <c r="A35">
        <v>8</v>
      </c>
      <c r="B35">
        <v>128.47299999999998</v>
      </c>
      <c r="C35">
        <v>2.749999999999956</v>
      </c>
      <c r="D35">
        <v>130.08700000000022</v>
      </c>
      <c r="E35">
        <v>130.33100000000016</v>
      </c>
      <c r="F35">
        <v>128.51</v>
      </c>
      <c r="G35">
        <v>2.94399999999996</v>
      </c>
      <c r="I35">
        <f t="shared" si="0"/>
        <v>-3.7000000000006139E-2</v>
      </c>
      <c r="J35" s="1">
        <f t="shared" si="1"/>
        <v>-2.8799825644303584E-4</v>
      </c>
    </row>
    <row r="36" spans="1:10">
      <c r="A36">
        <v>8</v>
      </c>
      <c r="B36">
        <v>145.25500000000036</v>
      </c>
      <c r="C36">
        <v>1.6809999999999725</v>
      </c>
      <c r="D36">
        <v>146.32100000000011</v>
      </c>
      <c r="E36">
        <v>146.6540000000002</v>
      </c>
      <c r="F36">
        <v>145.0450000000003</v>
      </c>
      <c r="G36">
        <v>2.422999999999965</v>
      </c>
      <c r="I36">
        <f t="shared" si="0"/>
        <v>0.2100000000000648</v>
      </c>
      <c r="J36" s="1">
        <f t="shared" si="1"/>
        <v>1.4457333654611839E-3</v>
      </c>
    </row>
    <row r="37" spans="1:10">
      <c r="A37">
        <v>8</v>
      </c>
      <c r="B37">
        <v>153.49700000000024</v>
      </c>
      <c r="C37">
        <v>1.2649999999999828</v>
      </c>
      <c r="D37">
        <v>154.46200000000044</v>
      </c>
      <c r="E37">
        <v>154.44400000000016</v>
      </c>
      <c r="F37">
        <v>153.23300000000032</v>
      </c>
      <c r="G37">
        <v>1.3759999999999781</v>
      </c>
      <c r="I37">
        <f t="shared" si="0"/>
        <v>0.26399999999992474</v>
      </c>
      <c r="J37" s="1">
        <f t="shared" si="1"/>
        <v>1.719903320585577E-3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2ECE-A375-A848-A6E9-78F188C5D767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76FFD5-BE49-1E4C-9E5D-ABEB986CAD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お互いにDP(lowdense_cc_infl_p2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2025-12-02T06:09:17Z</dcterms:created>
  <dcterms:modified xsi:type="dcterms:W3CDTF">2025-12-03T14:58:44Z</dcterms:modified>
</cp:coreProperties>
</file>