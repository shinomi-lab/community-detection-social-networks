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result/平均クラスター係数基準/"/>
    </mc:Choice>
  </mc:AlternateContent>
  <xr:revisionPtr revIDLastSave="0" documentId="13_ncr:1_{58E8181E-7E38-AF45-BC8F-03D09C0D3C60}" xr6:coauthVersionLast="47" xr6:coauthVersionMax="47" xr10:uidLastSave="{00000000-0000-0000-0000-000000000000}"/>
  <bookViews>
    <workbookView xWindow="2140" yWindow="3400" windowWidth="27500" windowHeight="16360" xr2:uid="{198904E5-1921-B246-B35F-60CC97871246}"/>
  </bookViews>
  <sheets>
    <sheet name="お互いにDP(middense_cc_infl_p1_egot" sheetId="2" r:id="rId1"/>
    <sheet name="Sheet1" sheetId="1" r:id="rId2"/>
  </sheets>
  <definedNames>
    <definedName name="ExternalData_1" localSheetId="0" hidden="1">'お互いにDP(middense_cc_infl_p1_egot'!$A$1:$G$37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2" i="2" l="1"/>
  <c r="M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B7EFA8-C327-3E48-9027-F10BF5718737}" keepAlive="1" name="クエリ - お互いにDP(middense_cc_infl_p1_egotwitter)" description="ブック内の 'お互いにDP(middense_cc_infl_p1_egotwitter)' クエリへの接続です。" type="5" refreshedVersion="8" background="1" saveData="1">
    <dbPr connection="Provider=Microsoft.Mashup.OleDb.1;Data Source=$Workbook$;Location=お互いにDP(middense_cc_infl_p1_egotwitter);Extended Properties=&quot;&quot;" command="SELECT * FROM [お互いにDP(middense_cc_infl_p1_egotwitter)]"/>
  </connection>
</connections>
</file>

<file path=xl/sharedStrings.xml><?xml version="1.0" encoding="utf-8"?>
<sst xmlns="http://schemas.openxmlformats.org/spreadsheetml/2006/main" count="12" uniqueCount="12">
  <si>
    <t>Seed</t>
  </si>
  <si>
    <t>ありの解</t>
  </si>
  <si>
    <t>ありの解2</t>
  </si>
  <si>
    <t>ありをなし</t>
  </si>
  <si>
    <t>なしの解</t>
  </si>
  <si>
    <t>なしの解をアリ</t>
  </si>
  <si>
    <t>なしの解をアリ2</t>
  </si>
  <si>
    <t>ありの優位性</t>
    <phoneticPr fontId="1"/>
  </si>
  <si>
    <t>割合</t>
    <rPh sb="0" eb="2">
      <t>ワリアイ</t>
    </rPh>
    <phoneticPr fontId="1"/>
  </si>
  <si>
    <t>最大</t>
    <rPh sb="0" eb="2">
      <t>サイダイ</t>
    </rPh>
    <phoneticPr fontId="1"/>
  </si>
  <si>
    <t>平均</t>
    <rPh sb="0" eb="2">
      <t>ヘイキn</t>
    </rPh>
    <phoneticPr fontId="1"/>
  </si>
  <si>
    <t>一致率</t>
    <rPh sb="0" eb="3">
      <t>ITT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</si>
</sst>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255D1C-09E1-9F4A-9A41-85E9D843497B}" autoFormatId="20" applyNumberFormats="0" applyBorderFormats="0" applyFontFormats="0" applyPatternFormats="0" applyAlignmentFormats="0" applyWidthHeightFormats="0">
  <queryTableRefresh nextId="8">
    <queryTableFields count="7">
      <queryTableField id="1" name="Seed" tableColumnId="1"/>
      <queryTableField id="2" name="ありの解" tableColumnId="2"/>
      <queryTableField id="3" name="ありの解2" tableColumnId="3"/>
      <queryTableField id="4" name="ありをなし" tableColumnId="4"/>
      <queryTableField id="5" name="なしの解" tableColumnId="5"/>
      <queryTableField id="6" name="なしの解をアリ" tableColumnId="6"/>
      <queryTableField id="7" name="なしの解をアリ2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9ADF44-83AB-DF49-8F4C-761ED5B71C0B}" name="お互いにDP_middense_cc_infl_p1_egotwitter" displayName="お互いにDP_middense_cc_infl_p1_egotwitter" ref="A1:G37" tableType="queryTable" totalsRowShown="0">
  <autoFilter ref="A1:G37" xr:uid="{AB9ADF44-83AB-DF49-8F4C-761ED5B71C0B}"/>
  <tableColumns count="7">
    <tableColumn id="1" xr3:uid="{2FE40FC6-80E7-B842-A13D-3CA01024125D}" uniqueName="1" name="Seed" queryTableFieldId="1"/>
    <tableColumn id="2" xr3:uid="{E0B238E7-37F2-434A-A4BA-E21E6BD4EECA}" uniqueName="2" name="ありの解" queryTableFieldId="2"/>
    <tableColumn id="3" xr3:uid="{012AEA07-E043-ED40-BDA5-53080A4D9933}" uniqueName="3" name="ありの解2" queryTableFieldId="3"/>
    <tableColumn id="4" xr3:uid="{5AF6B3B9-1CFF-474F-9B52-40CCD4A30BA4}" uniqueName="4" name="ありをなし" queryTableFieldId="4"/>
    <tableColumn id="5" xr3:uid="{0173D9F5-6B67-ED45-B416-F354E6BF9F1C}" uniqueName="5" name="なしの解" queryTableFieldId="5"/>
    <tableColumn id="6" xr3:uid="{79417711-C107-8B43-BBF3-142E2A763582}" uniqueName="6" name="なしの解をアリ" queryTableFieldId="6"/>
    <tableColumn id="7" xr3:uid="{5145705A-F22B-DD45-865B-1B1D877BAE32}" uniqueName="7" name="なしの解をアリ2" queryTableFieldId="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9492-F34D-A442-894F-81BFC374F098}">
  <dimension ref="A1:M37"/>
  <sheetViews>
    <sheetView tabSelected="1" workbookViewId="0">
      <selection activeCell="M3" sqref="M3"/>
    </sheetView>
  </sheetViews>
  <sheetFormatPr baseColWidth="10" defaultRowHeight="20"/>
  <cols>
    <col min="1" max="1" width="8" bestFit="1" customWidth="1"/>
    <col min="3" max="3" width="11.7109375" bestFit="1" customWidth="1"/>
    <col min="4" max="4" width="12.42578125" bestFit="1" customWidth="1"/>
    <col min="6" max="6" width="16" bestFit="1" customWidth="1"/>
    <col min="7" max="7" width="17.140625" bestFit="1" customWidth="1"/>
    <col min="9" max="9" width="1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s="2">
        <f>MAX(J2:J37)</f>
        <v>0.49790758801964452</v>
      </c>
    </row>
    <row r="2" spans="1:13">
      <c r="A2">
        <v>0</v>
      </c>
      <c r="B2">
        <v>71.896000000000072</v>
      </c>
      <c r="C2">
        <v>30.257999999999974</v>
      </c>
      <c r="D2">
        <v>101.86299999999945</v>
      </c>
      <c r="E2">
        <v>101.29899999999971</v>
      </c>
      <c r="F2">
        <v>59.614000000000111</v>
      </c>
      <c r="G2">
        <v>44.571000000000012</v>
      </c>
      <c r="I2">
        <f>(B2-F2)</f>
        <v>12.281999999999961</v>
      </c>
      <c r="J2" s="1">
        <f>(I2/B2)</f>
        <v>0.1708300879047506</v>
      </c>
      <c r="L2" t="s">
        <v>10</v>
      </c>
      <c r="M2" s="2">
        <f>AVERAGE(J2:J37)</f>
        <v>0.12122313075174634</v>
      </c>
    </row>
    <row r="3" spans="1:13">
      <c r="A3">
        <v>0</v>
      </c>
      <c r="B3">
        <v>123.05799999999972</v>
      </c>
      <c r="C3">
        <v>26.204000000000008</v>
      </c>
      <c r="D3">
        <v>150.01500000000027</v>
      </c>
      <c r="E3">
        <v>151.09500000000023</v>
      </c>
      <c r="F3">
        <v>119.60999999999983</v>
      </c>
      <c r="G3">
        <v>30.151999999999962</v>
      </c>
      <c r="I3">
        <f t="shared" ref="I3:I37" si="0">(B3-F3)</f>
        <v>3.4479999999998938</v>
      </c>
      <c r="J3" s="1">
        <f t="shared" ref="J3:J37" si="1">(I3/B3)</f>
        <v>2.8019307968599371E-2</v>
      </c>
      <c r="L3" t="s">
        <v>11</v>
      </c>
      <c r="M3" s="1">
        <f>COUNTIF(I2:I37,0)/COUNT(I2:I37)</f>
        <v>0</v>
      </c>
    </row>
    <row r="4" spans="1:13">
      <c r="A4">
        <v>0</v>
      </c>
      <c r="B4">
        <v>136.64900000000023</v>
      </c>
      <c r="C4">
        <v>26.922000000000001</v>
      </c>
      <c r="D4">
        <v>165.36200000000028</v>
      </c>
      <c r="E4">
        <v>166.19300000000047</v>
      </c>
      <c r="F4">
        <v>135.37900000000019</v>
      </c>
      <c r="G4">
        <v>29.66299999999994</v>
      </c>
      <c r="I4">
        <f t="shared" si="0"/>
        <v>1.2700000000000387</v>
      </c>
      <c r="J4" s="1">
        <f t="shared" si="1"/>
        <v>9.2938843313894477E-3</v>
      </c>
    </row>
    <row r="5" spans="1:13">
      <c r="A5">
        <v>0</v>
      </c>
      <c r="B5">
        <v>150.21500000000023</v>
      </c>
      <c r="C5">
        <v>18.392999999999965</v>
      </c>
      <c r="D5">
        <v>170.28200000000041</v>
      </c>
      <c r="E5">
        <v>174.52600000000055</v>
      </c>
      <c r="F5">
        <v>142.94400000000002</v>
      </c>
      <c r="G5">
        <v>30.14399999999997</v>
      </c>
      <c r="I5">
        <f t="shared" si="0"/>
        <v>7.271000000000214</v>
      </c>
      <c r="J5" s="1">
        <f t="shared" si="1"/>
        <v>4.8403954332125305E-2</v>
      </c>
    </row>
    <row r="6" spans="1:13">
      <c r="A6">
        <v>1</v>
      </c>
      <c r="B6">
        <v>70.290000000000006</v>
      </c>
      <c r="C6">
        <v>46.882999999999974</v>
      </c>
      <c r="D6">
        <v>98.612999999999602</v>
      </c>
      <c r="E6">
        <v>97.046999999999656</v>
      </c>
      <c r="F6">
        <v>61.343999999999966</v>
      </c>
      <c r="G6">
        <v>56.574000000000034</v>
      </c>
      <c r="I6">
        <f t="shared" si="0"/>
        <v>8.9460000000000406</v>
      </c>
      <c r="J6" s="1">
        <f t="shared" si="1"/>
        <v>0.12727272727272784</v>
      </c>
    </row>
    <row r="7" spans="1:13">
      <c r="A7">
        <v>1</v>
      </c>
      <c r="B7">
        <v>112.38199999999976</v>
      </c>
      <c r="C7">
        <v>41.944000000000017</v>
      </c>
      <c r="D7">
        <v>139.36500000000032</v>
      </c>
      <c r="E7">
        <v>139.95400000000024</v>
      </c>
      <c r="F7">
        <v>105.87399999999978</v>
      </c>
      <c r="G7">
        <v>50.994999999999933</v>
      </c>
      <c r="I7">
        <f t="shared" si="0"/>
        <v>6.5079999999999814</v>
      </c>
      <c r="J7" s="1">
        <f t="shared" si="1"/>
        <v>5.7909629655994686E-2</v>
      </c>
    </row>
    <row r="8" spans="1:13">
      <c r="A8">
        <v>1</v>
      </c>
      <c r="B8">
        <v>135.54600000000025</v>
      </c>
      <c r="C8">
        <v>27.812999999999978</v>
      </c>
      <c r="D8">
        <v>154.87400000000028</v>
      </c>
      <c r="E8">
        <v>155.99700000000044</v>
      </c>
      <c r="F8">
        <v>124.24300000000007</v>
      </c>
      <c r="G8">
        <v>48.058000000000064</v>
      </c>
      <c r="I8">
        <f t="shared" si="0"/>
        <v>11.303000000000182</v>
      </c>
      <c r="J8" s="1">
        <f t="shared" si="1"/>
        <v>8.3388665102623175E-2</v>
      </c>
    </row>
    <row r="9" spans="1:13">
      <c r="A9">
        <v>1</v>
      </c>
      <c r="B9">
        <v>146.30600000000015</v>
      </c>
      <c r="C9">
        <v>26.80599999999998</v>
      </c>
      <c r="D9">
        <v>164.16600000000031</v>
      </c>
      <c r="E9">
        <v>167.25200000000046</v>
      </c>
      <c r="F9">
        <v>147.43900000000036</v>
      </c>
      <c r="G9">
        <v>30.161999999999988</v>
      </c>
      <c r="I9">
        <f t="shared" si="0"/>
        <v>-1.1330000000002087</v>
      </c>
      <c r="J9" s="1">
        <f t="shared" si="1"/>
        <v>-7.7440433064960255E-3</v>
      </c>
    </row>
    <row r="10" spans="1:13">
      <c r="A10">
        <v>2</v>
      </c>
      <c r="B10">
        <v>61.029999999999909</v>
      </c>
      <c r="C10">
        <v>96.665999999999642</v>
      </c>
      <c r="D10">
        <v>71.604000000000056</v>
      </c>
      <c r="E10">
        <v>94.373999999999825</v>
      </c>
      <c r="F10">
        <v>34.33199999999993</v>
      </c>
      <c r="G10">
        <v>88.717999999999691</v>
      </c>
      <c r="I10">
        <f t="shared" si="0"/>
        <v>26.697999999999979</v>
      </c>
      <c r="J10" s="1">
        <f t="shared" si="1"/>
        <v>0.43745698836637753</v>
      </c>
    </row>
    <row r="11" spans="1:13">
      <c r="A11">
        <v>2</v>
      </c>
      <c r="B11">
        <v>100.54299999999957</v>
      </c>
      <c r="C11">
        <v>57.962999999999994</v>
      </c>
      <c r="D11">
        <v>146.49400000000014</v>
      </c>
      <c r="E11">
        <v>144.00700000000001</v>
      </c>
      <c r="F11">
        <v>95.080999999999847</v>
      </c>
      <c r="G11">
        <v>62.234999999999943</v>
      </c>
      <c r="I11">
        <f t="shared" si="0"/>
        <v>5.4619999999997191</v>
      </c>
      <c r="J11" s="1">
        <f t="shared" si="1"/>
        <v>5.4325015167637158E-2</v>
      </c>
    </row>
    <row r="12" spans="1:13">
      <c r="A12">
        <v>2</v>
      </c>
      <c r="B12">
        <v>115.99799999999985</v>
      </c>
      <c r="C12">
        <v>45.616999999999848</v>
      </c>
      <c r="D12">
        <v>151.79000000000048</v>
      </c>
      <c r="E12">
        <v>159.70299999999997</v>
      </c>
      <c r="F12">
        <v>112.20199999999974</v>
      </c>
      <c r="G12">
        <v>60.450999999999993</v>
      </c>
      <c r="I12">
        <f t="shared" si="0"/>
        <v>3.796000000000106</v>
      </c>
      <c r="J12" s="1">
        <f t="shared" si="1"/>
        <v>3.2724702150038025E-2</v>
      </c>
    </row>
    <row r="13" spans="1:13">
      <c r="A13">
        <v>2</v>
      </c>
      <c r="B13">
        <v>130.65499999999997</v>
      </c>
      <c r="C13">
        <v>43.255999999999879</v>
      </c>
      <c r="D13">
        <v>165.83700000000039</v>
      </c>
      <c r="E13">
        <v>168.5890000000004</v>
      </c>
      <c r="F13">
        <v>121.93899999999988</v>
      </c>
      <c r="G13">
        <v>58.740000000000016</v>
      </c>
      <c r="I13">
        <f t="shared" si="0"/>
        <v>8.7160000000000935</v>
      </c>
      <c r="J13" s="1">
        <f t="shared" si="1"/>
        <v>6.6710037886036466E-2</v>
      </c>
    </row>
    <row r="14" spans="1:13">
      <c r="A14">
        <v>3</v>
      </c>
      <c r="B14">
        <v>57.827999999999911</v>
      </c>
      <c r="C14">
        <v>102.96599999999961</v>
      </c>
      <c r="D14">
        <v>78.987000000000194</v>
      </c>
      <c r="E14">
        <v>99.279999999999674</v>
      </c>
      <c r="F14">
        <v>29.03499999999995</v>
      </c>
      <c r="G14">
        <v>92.618999999999659</v>
      </c>
      <c r="I14">
        <f t="shared" si="0"/>
        <v>28.79299999999996</v>
      </c>
      <c r="J14" s="1">
        <f t="shared" si="1"/>
        <v>0.49790758801964452</v>
      </c>
    </row>
    <row r="15" spans="1:13">
      <c r="A15">
        <v>3</v>
      </c>
      <c r="B15">
        <v>83.765999999999892</v>
      </c>
      <c r="C15">
        <v>78.458999999999889</v>
      </c>
      <c r="D15">
        <v>145.63900000000021</v>
      </c>
      <c r="E15">
        <v>145.43600000000032</v>
      </c>
      <c r="F15">
        <v>76.787999999999869</v>
      </c>
      <c r="G15">
        <v>85.868999999999815</v>
      </c>
      <c r="I15">
        <f t="shared" si="0"/>
        <v>6.9780000000000229</v>
      </c>
      <c r="J15" s="1">
        <f t="shared" si="1"/>
        <v>8.3303488288804906E-2</v>
      </c>
    </row>
    <row r="16" spans="1:13">
      <c r="A16">
        <v>3</v>
      </c>
      <c r="B16">
        <v>100.24999999999946</v>
      </c>
      <c r="C16">
        <v>75.917000000000044</v>
      </c>
      <c r="D16">
        <v>160.70300000000029</v>
      </c>
      <c r="E16">
        <v>158.97900000000027</v>
      </c>
      <c r="F16">
        <v>91.543999999999727</v>
      </c>
      <c r="G16">
        <v>85.15599999999975</v>
      </c>
      <c r="I16">
        <f t="shared" si="0"/>
        <v>8.7059999999997331</v>
      </c>
      <c r="J16" s="1">
        <f t="shared" si="1"/>
        <v>8.6842892768077606E-2</v>
      </c>
    </row>
    <row r="17" spans="1:10">
      <c r="A17">
        <v>3</v>
      </c>
      <c r="B17">
        <v>116.69899999999973</v>
      </c>
      <c r="C17">
        <v>63.00900000000005</v>
      </c>
      <c r="D17">
        <v>167.07900000000029</v>
      </c>
      <c r="E17">
        <v>168.12900000000002</v>
      </c>
      <c r="F17">
        <v>100.9509999999996</v>
      </c>
      <c r="G17">
        <v>84.476999999999904</v>
      </c>
      <c r="I17">
        <f t="shared" si="0"/>
        <v>15.748000000000133</v>
      </c>
      <c r="J17" s="1">
        <f t="shared" si="1"/>
        <v>0.13494545797307747</v>
      </c>
    </row>
    <row r="18" spans="1:10">
      <c r="A18">
        <v>4</v>
      </c>
      <c r="B18">
        <v>60.561999999999877</v>
      </c>
      <c r="C18">
        <v>100.19999999999959</v>
      </c>
      <c r="D18">
        <v>73.396000000000086</v>
      </c>
      <c r="E18">
        <v>97.775999999999925</v>
      </c>
      <c r="F18">
        <v>33.030999999999999</v>
      </c>
      <c r="G18">
        <v>90.344999999999715</v>
      </c>
      <c r="I18">
        <f t="shared" si="0"/>
        <v>27.530999999999878</v>
      </c>
      <c r="J18" s="1">
        <f t="shared" si="1"/>
        <v>0.45459198837554793</v>
      </c>
    </row>
    <row r="19" spans="1:10">
      <c r="A19">
        <v>4</v>
      </c>
      <c r="B19">
        <v>101.9989999999996</v>
      </c>
      <c r="C19">
        <v>59.158000000000015</v>
      </c>
      <c r="D19">
        <v>153.26100000000031</v>
      </c>
      <c r="E19">
        <v>148.37400000000031</v>
      </c>
      <c r="F19">
        <v>82.16599999999994</v>
      </c>
      <c r="G19">
        <v>77.858999999999938</v>
      </c>
      <c r="I19">
        <f t="shared" si="0"/>
        <v>19.832999999999657</v>
      </c>
      <c r="J19" s="1">
        <f t="shared" si="1"/>
        <v>0.19444308277531874</v>
      </c>
    </row>
    <row r="20" spans="1:10">
      <c r="A20">
        <v>4</v>
      </c>
      <c r="B20">
        <v>120.39999999999972</v>
      </c>
      <c r="C20">
        <v>44.896999999999913</v>
      </c>
      <c r="D20">
        <v>159.49900000000014</v>
      </c>
      <c r="E20">
        <v>166.38300000000035</v>
      </c>
      <c r="F20">
        <v>100.73399999999961</v>
      </c>
      <c r="G20">
        <v>75.916000000000025</v>
      </c>
      <c r="I20">
        <f t="shared" si="0"/>
        <v>19.666000000000111</v>
      </c>
      <c r="J20" s="1">
        <f t="shared" si="1"/>
        <v>0.16333887043189499</v>
      </c>
    </row>
    <row r="21" spans="1:10">
      <c r="A21">
        <v>4</v>
      </c>
      <c r="B21">
        <v>135.56500000000025</v>
      </c>
      <c r="C21">
        <v>43.972999999999935</v>
      </c>
      <c r="D21">
        <v>173.2710000000005</v>
      </c>
      <c r="E21">
        <v>175.12700000000061</v>
      </c>
      <c r="F21">
        <v>110.36499999999963</v>
      </c>
      <c r="G21">
        <v>74.406000000000049</v>
      </c>
      <c r="I21">
        <f t="shared" si="0"/>
        <v>25.200000000000628</v>
      </c>
      <c r="J21" s="1">
        <f t="shared" si="1"/>
        <v>0.1858886880832116</v>
      </c>
    </row>
    <row r="22" spans="1:10">
      <c r="A22">
        <v>5</v>
      </c>
      <c r="B22">
        <v>72.181999999999988</v>
      </c>
      <c r="C22">
        <v>34.739999999999966</v>
      </c>
      <c r="D22">
        <v>99.679999999999552</v>
      </c>
      <c r="E22">
        <v>98.093999999999753</v>
      </c>
      <c r="F22">
        <v>66.23599999999999</v>
      </c>
      <c r="G22">
        <v>39.581000000000003</v>
      </c>
      <c r="I22">
        <f t="shared" si="0"/>
        <v>5.945999999999998</v>
      </c>
      <c r="J22" s="1">
        <f t="shared" si="1"/>
        <v>8.2375107367487724E-2</v>
      </c>
    </row>
    <row r="23" spans="1:10">
      <c r="A23">
        <v>5</v>
      </c>
      <c r="B23">
        <v>110.71599999999977</v>
      </c>
      <c r="C23">
        <v>31.789999999999957</v>
      </c>
      <c r="D23">
        <v>135.94500000000019</v>
      </c>
      <c r="E23">
        <v>139.6760000000003</v>
      </c>
      <c r="F23">
        <v>112.31399999999971</v>
      </c>
      <c r="G23">
        <v>35.984999999999971</v>
      </c>
      <c r="I23">
        <f t="shared" si="0"/>
        <v>-1.5979999999999421</v>
      </c>
      <c r="J23" s="1">
        <f t="shared" si="1"/>
        <v>-1.4433324903355842E-2</v>
      </c>
    </row>
    <row r="24" spans="1:10">
      <c r="A24">
        <v>5</v>
      </c>
      <c r="B24">
        <v>127.75500000000004</v>
      </c>
      <c r="C24">
        <v>22.931999999999977</v>
      </c>
      <c r="D24">
        <v>145.86700000000036</v>
      </c>
      <c r="E24">
        <v>153.4580000000002</v>
      </c>
      <c r="F24">
        <v>126.70700000000005</v>
      </c>
      <c r="G24">
        <v>33.950999999999958</v>
      </c>
      <c r="I24">
        <f t="shared" si="0"/>
        <v>1.0479999999999876</v>
      </c>
      <c r="J24" s="1">
        <f t="shared" si="1"/>
        <v>8.2032014402566421E-3</v>
      </c>
    </row>
    <row r="25" spans="1:10">
      <c r="A25">
        <v>5</v>
      </c>
      <c r="B25">
        <v>140.61300000000034</v>
      </c>
      <c r="C25">
        <v>22.03</v>
      </c>
      <c r="D25">
        <v>158.50200000000004</v>
      </c>
      <c r="E25">
        <v>162.00300000000004</v>
      </c>
      <c r="F25">
        <v>136.40800000000019</v>
      </c>
      <c r="G25">
        <v>33.477999999999966</v>
      </c>
      <c r="I25">
        <f t="shared" si="0"/>
        <v>4.2050000000001546</v>
      </c>
      <c r="J25" s="1">
        <f t="shared" si="1"/>
        <v>2.9904774096279466E-2</v>
      </c>
    </row>
    <row r="26" spans="1:10">
      <c r="A26">
        <v>6</v>
      </c>
      <c r="B26">
        <v>59.814999999999856</v>
      </c>
      <c r="C26">
        <v>45.159999999999968</v>
      </c>
      <c r="D26">
        <v>100.46899999999978</v>
      </c>
      <c r="E26">
        <v>98.455999999999634</v>
      </c>
      <c r="F26">
        <v>44.684999999999967</v>
      </c>
      <c r="G26">
        <v>64.765000000000001</v>
      </c>
      <c r="I26">
        <f t="shared" si="0"/>
        <v>15.129999999999889</v>
      </c>
      <c r="J26" s="1">
        <f t="shared" si="1"/>
        <v>0.25294658530468822</v>
      </c>
    </row>
    <row r="27" spans="1:10">
      <c r="A27">
        <v>6</v>
      </c>
      <c r="B27">
        <v>109.67599999999965</v>
      </c>
      <c r="C27">
        <v>39.224999999999973</v>
      </c>
      <c r="D27">
        <v>145.77900000000022</v>
      </c>
      <c r="E27">
        <v>147.77600000000024</v>
      </c>
      <c r="F27">
        <v>109.53199999999983</v>
      </c>
      <c r="G27">
        <v>41.733999999999973</v>
      </c>
      <c r="I27">
        <f t="shared" si="0"/>
        <v>0.14399999999982072</v>
      </c>
      <c r="J27" s="1">
        <f t="shared" si="1"/>
        <v>1.3129581676923044E-3</v>
      </c>
    </row>
    <row r="28" spans="1:10">
      <c r="A28">
        <v>6</v>
      </c>
      <c r="B28">
        <v>126.27200000000018</v>
      </c>
      <c r="C28">
        <v>29.154999999999976</v>
      </c>
      <c r="D28">
        <v>152.32400000000047</v>
      </c>
      <c r="E28">
        <v>163.55900000000003</v>
      </c>
      <c r="F28">
        <v>126.81399999999989</v>
      </c>
      <c r="G28">
        <v>39.406999999999989</v>
      </c>
      <c r="I28">
        <f t="shared" si="0"/>
        <v>-0.54199999999971737</v>
      </c>
      <c r="J28" s="1">
        <f t="shared" si="1"/>
        <v>-4.2923213380616177E-3</v>
      </c>
    </row>
    <row r="29" spans="1:10">
      <c r="A29">
        <v>6</v>
      </c>
      <c r="B29">
        <v>142.41700000000054</v>
      </c>
      <c r="C29">
        <v>28.721999999999984</v>
      </c>
      <c r="D29">
        <v>168.67000000000053</v>
      </c>
      <c r="E29">
        <v>172.80800000000039</v>
      </c>
      <c r="F29">
        <v>135.84400000000016</v>
      </c>
      <c r="G29">
        <v>40.089999999999982</v>
      </c>
      <c r="I29">
        <f t="shared" si="0"/>
        <v>6.573000000000377</v>
      </c>
      <c r="J29" s="1">
        <f t="shared" si="1"/>
        <v>4.6153198003049858E-2</v>
      </c>
    </row>
    <row r="30" spans="1:10">
      <c r="A30">
        <v>7</v>
      </c>
      <c r="B30">
        <v>73.314999999999884</v>
      </c>
      <c r="C30">
        <v>38.565999999999946</v>
      </c>
      <c r="D30">
        <v>101.03499999999967</v>
      </c>
      <c r="E30">
        <v>97.398999999999646</v>
      </c>
      <c r="F30">
        <v>59.179999999999943</v>
      </c>
      <c r="G30">
        <v>59.050000000000068</v>
      </c>
      <c r="I30">
        <f t="shared" si="0"/>
        <v>14.134999999999941</v>
      </c>
      <c r="J30" s="1">
        <f t="shared" si="1"/>
        <v>0.19279819954988697</v>
      </c>
    </row>
    <row r="31" spans="1:10">
      <c r="A31">
        <v>7</v>
      </c>
      <c r="B31">
        <v>115.62899999999969</v>
      </c>
      <c r="C31">
        <v>32.963999999999956</v>
      </c>
      <c r="D31">
        <v>139.38700000000046</v>
      </c>
      <c r="E31">
        <v>137.87200000000036</v>
      </c>
      <c r="F31">
        <v>104.31999999999972</v>
      </c>
      <c r="G31">
        <v>49.117000000000068</v>
      </c>
      <c r="I31">
        <f t="shared" si="0"/>
        <v>11.308999999999969</v>
      </c>
      <c r="J31" s="1">
        <f t="shared" si="1"/>
        <v>9.7804184071469957E-2</v>
      </c>
    </row>
    <row r="32" spans="1:10">
      <c r="A32">
        <v>7</v>
      </c>
      <c r="B32">
        <v>135.33500000000018</v>
      </c>
      <c r="C32">
        <v>23.912999999999975</v>
      </c>
      <c r="D32">
        <v>153.04800000000031</v>
      </c>
      <c r="E32">
        <v>151.98500000000018</v>
      </c>
      <c r="F32">
        <v>118.91499999999991</v>
      </c>
      <c r="G32">
        <v>47.739999999999952</v>
      </c>
      <c r="I32">
        <f t="shared" si="0"/>
        <v>16.420000000000272</v>
      </c>
      <c r="J32" s="1">
        <f t="shared" si="1"/>
        <v>0.12132855506705767</v>
      </c>
    </row>
    <row r="33" spans="1:10">
      <c r="A33">
        <v>7</v>
      </c>
      <c r="B33">
        <v>149.26500000000041</v>
      </c>
      <c r="C33">
        <v>20.13199999999998</v>
      </c>
      <c r="D33">
        <v>164.53800000000015</v>
      </c>
      <c r="E33">
        <v>163.01700000000014</v>
      </c>
      <c r="F33">
        <v>131.80500000000004</v>
      </c>
      <c r="G33">
        <v>44.560999999999993</v>
      </c>
      <c r="I33">
        <f t="shared" si="0"/>
        <v>17.460000000000377</v>
      </c>
      <c r="J33" s="1">
        <f t="shared" si="1"/>
        <v>0.11697316852577851</v>
      </c>
    </row>
    <row r="34" spans="1:10">
      <c r="A34">
        <v>8</v>
      </c>
      <c r="B34">
        <v>62.384999999999998</v>
      </c>
      <c r="C34">
        <v>89.724999999999724</v>
      </c>
      <c r="D34">
        <v>76.682999999999936</v>
      </c>
      <c r="E34">
        <v>99.026999999999688</v>
      </c>
      <c r="F34">
        <v>36.809999999999938</v>
      </c>
      <c r="G34">
        <v>76.520999999999901</v>
      </c>
      <c r="I34">
        <f t="shared" si="0"/>
        <v>25.57500000000006</v>
      </c>
      <c r="J34" s="1">
        <f t="shared" si="1"/>
        <v>0.40995431594133303</v>
      </c>
    </row>
    <row r="35" spans="1:10">
      <c r="A35">
        <v>8</v>
      </c>
      <c r="B35">
        <v>103.94199999999962</v>
      </c>
      <c r="C35">
        <v>53.362999999999907</v>
      </c>
      <c r="D35">
        <v>150.94599999999983</v>
      </c>
      <c r="E35">
        <v>151.94199999999998</v>
      </c>
      <c r="F35">
        <v>100.44299999999969</v>
      </c>
      <c r="G35">
        <v>59.027000000000022</v>
      </c>
      <c r="I35">
        <f t="shared" si="0"/>
        <v>3.4989999999999384</v>
      </c>
      <c r="J35" s="1">
        <f t="shared" si="1"/>
        <v>3.3663004367820042E-2</v>
      </c>
    </row>
    <row r="36" spans="1:10">
      <c r="A36">
        <v>8</v>
      </c>
      <c r="B36">
        <v>119.15399999999994</v>
      </c>
      <c r="C36">
        <v>41.142999999999873</v>
      </c>
      <c r="D36">
        <v>154.102</v>
      </c>
      <c r="E36">
        <v>168.03000000000029</v>
      </c>
      <c r="F36">
        <v>118.90399999999977</v>
      </c>
      <c r="G36">
        <v>56.051999999999893</v>
      </c>
      <c r="I36">
        <f t="shared" si="0"/>
        <v>0.25000000000017053</v>
      </c>
      <c r="J36" s="1">
        <f t="shared" si="1"/>
        <v>2.0981251153983135E-3</v>
      </c>
    </row>
    <row r="37" spans="1:10">
      <c r="A37">
        <v>8</v>
      </c>
      <c r="B37">
        <v>137.40800000000027</v>
      </c>
      <c r="C37">
        <v>40.912999999999897</v>
      </c>
      <c r="D37">
        <v>172.44200000000006</v>
      </c>
      <c r="E37">
        <v>175.7690000000004</v>
      </c>
      <c r="F37">
        <v>126.77400000000016</v>
      </c>
      <c r="G37">
        <v>56.104999999999954</v>
      </c>
      <c r="I37">
        <f t="shared" si="0"/>
        <v>10.634000000000114</v>
      </c>
      <c r="J37" s="1">
        <f t="shared" si="1"/>
        <v>7.7389962738705853E-2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1975-E128-FA4C-A772-0D1948E76E73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F22592-7C2F-9045-AD1B-6CA323918C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お互いにDP(middense_cc_infl_p1_egot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 薫</dc:creator>
  <cp:lastModifiedBy>小川 薫</cp:lastModifiedBy>
  <dcterms:created xsi:type="dcterms:W3CDTF">2025-12-02T06:03:16Z</dcterms:created>
  <dcterms:modified xsi:type="dcterms:W3CDTF">2025-12-03T07:40:50Z</dcterms:modified>
</cp:coreProperties>
</file>