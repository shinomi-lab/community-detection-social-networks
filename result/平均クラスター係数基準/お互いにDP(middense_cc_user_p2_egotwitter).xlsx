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451690CD-E27D-5B47-A1BA-8F910924BE4C}" xr6:coauthVersionLast="47" xr6:coauthVersionMax="47" xr10:uidLastSave="{00000000-0000-0000-0000-000000000000}"/>
  <bookViews>
    <workbookView xWindow="2640" yWindow="1500" windowWidth="28300" windowHeight="17360" xr2:uid="{3A7D7000-0728-3D40-91FD-A33BE8B49D22}"/>
  </bookViews>
  <sheets>
    <sheet name="お互いにDP(middense_cc_user_p2_egot" sheetId="2" r:id="rId1"/>
    <sheet name="Sheet1" sheetId="1" r:id="rId2"/>
  </sheets>
  <definedNames>
    <definedName name="ExternalData_1" localSheetId="0" hidden="1">'お互いにDP(middense_cc_user_p2_egot'!$A$1:$G$37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2" i="2"/>
  <c r="M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310F51-20BB-5B47-A622-5B8BCF0F0DFE}" keepAlive="1" name="クエリ - お互いにDP(middense_cc_user_p2_egotwitter)" description="ブック内の 'お互いにDP(middense_cc_user_p2_egotwitter)' クエリへの接続です。" type="5" refreshedVersion="8" background="1" saveData="1">
    <dbPr connection="Provider=Microsoft.Mashup.OleDb.1;Data Source=$Workbook$;Location=お互いにDP(middense_cc_user_p2_egotwitter);Extended Properties=&quot;&quot;" command="SELECT * FROM [お互いにDP(middense_cc_user_p2_egotwitter)]"/>
  </connection>
</connections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<sst xmlns="http://schemas.openxmlformats.org/spreadsheetml/2006/main" count="12" uniqueCount="12">
  <si>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</si>
  <si>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</si>
  <si>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</si>
  <si>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</si>
  <si>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</si>
  <si>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</si>
  <si>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</si>
  <si>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phoneticPr fontId="1"/>
  </si>
  <si>
    <t>割合</t>
    <rPh sb="0" eb="2">
      <t>ワリアイ</t>
    </rPh>
    <phoneticPr fontId="1"/>
  </si>
  <si>
    <t>最大</t>
    <rPh sb="0" eb="2">
      <t>サイダイ</t>
    </rPh>
    <phoneticPr fontId="1"/>
  </si>
  <si>
    <t>平均</t>
    <rPh sb="0" eb="2">
      <t>ヘイキn</t>
    </rPh>
    <phoneticPr fontId="1"/>
  </si>
  <si>
    <t>一致率</t>
    <rPh sb="0" eb="3">
      <t>イッティ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</si>
</sst>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1" applyNumberFormat="1" applyFont="1">
      <alignment vertical="center"/>
    </xf>
    <xf numFmtId="180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3E73C0-5B95-4A43-8577-2E38327E2213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A9107-1A1A-C943-8EBA-B625315DC9B4}" name="お互いにDP_middense_cc_user_p2_egotwitter" displayName="お互いにDP_middense_cc_user_p2_egotwitter" ref="A1:G37" tableType="queryTable" totalsRowShown="0">
  <autoFilter ref="A1:G37" xr:uid="{A12A9107-1A1A-C943-8EBA-B625315DC9B4}"/>
  <tableColumns count="7">
    <tableColumn id="1" xr3:uid="{7A98DAE6-20ED-5E49-B2E1-81116B64F01A}" uniqueName="1" name="Seed" queryTableFieldId="1"/>
    <tableColumn id="2" xr3:uid="{B75B74FC-8A4A-7847-B91B-E39477F538A0}" uniqueName="2" name="ありの解" queryTableFieldId="2"/>
    <tableColumn id="3" xr3:uid="{6A9455BF-580D-5C47-8332-8A3004B3541F}" uniqueName="3" name="ありの解2" queryTableFieldId="3"/>
    <tableColumn id="4" xr3:uid="{4A56D687-2C84-2940-AD69-F4EFDF5D7B75}" uniqueName="4" name="ありをなし" queryTableFieldId="4"/>
    <tableColumn id="5" xr3:uid="{DF4050C7-45C8-374F-AAAC-74256E1CC412}" uniqueName="5" name="なしの解" queryTableFieldId="5"/>
    <tableColumn id="6" xr3:uid="{7A393A49-FCCE-5544-82F4-4C8743CB042A}" uniqueName="6" name="なしの解をアリ" queryTableFieldId="6"/>
    <tableColumn id="7" xr3:uid="{99AD6724-E5D8-3744-9DAB-F8BDDD79FE0B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1680-40E2-4249-A13C-8A950887892F}">
  <dimension ref="A1:M37"/>
  <sheetViews>
    <sheetView tabSelected="1" workbookViewId="0">
      <selection activeCell="M8" sqref="M8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  <col min="9" max="9" width="1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2">
        <f>MAX(J2:J37)</f>
        <v>0.13209023484422674</v>
      </c>
    </row>
    <row r="2" spans="1:13">
      <c r="A2">
        <v>0</v>
      </c>
      <c r="B2">
        <v>71.968000000000046</v>
      </c>
      <c r="C2">
        <v>43.465999999999987</v>
      </c>
      <c r="D2">
        <v>99.413999999999703</v>
      </c>
      <c r="E2">
        <v>99.413999999999703</v>
      </c>
      <c r="F2">
        <v>71.968000000000046</v>
      </c>
      <c r="G2">
        <v>43.465999999999987</v>
      </c>
      <c r="I2">
        <f>B2-F2</f>
        <v>0</v>
      </c>
      <c r="J2" s="1">
        <f>I2/B2</f>
        <v>0</v>
      </c>
      <c r="L2" t="s">
        <v>10</v>
      </c>
      <c r="M2" s="2">
        <f>AVERAGE(J2:J37)</f>
        <v>2.6951503359733491E-2</v>
      </c>
    </row>
    <row r="3" spans="1:13">
      <c r="A3">
        <v>0</v>
      </c>
      <c r="B3">
        <v>95.088999999999686</v>
      </c>
      <c r="C3">
        <v>35.484000000000037</v>
      </c>
      <c r="D3">
        <v>122.60999999999977</v>
      </c>
      <c r="E3">
        <v>123.45699999999992</v>
      </c>
      <c r="F3">
        <v>95.466999999999743</v>
      </c>
      <c r="G3">
        <v>34.117999999999988</v>
      </c>
      <c r="I3">
        <f t="shared" ref="I3:I37" si="0">B3-F3</f>
        <v>-0.37800000000005696</v>
      </c>
      <c r="J3" s="1">
        <f t="shared" ref="J3:J37" si="1">I3/B3</f>
        <v>-3.9752232119389013E-3</v>
      </c>
      <c r="L3" t="s">
        <v>11</v>
      </c>
      <c r="M3" s="1">
        <f>COUNTIF(I2:I37,0)/COUNT(I2:I37)</f>
        <v>0.3888888888888889</v>
      </c>
    </row>
    <row r="4" spans="1:13">
      <c r="A4">
        <v>0</v>
      </c>
      <c r="B4">
        <v>107.6099999999996</v>
      </c>
      <c r="C4">
        <v>27.138999999999996</v>
      </c>
      <c r="D4">
        <v>127.52800000000008</v>
      </c>
      <c r="E4">
        <v>131.86800000000002</v>
      </c>
      <c r="F4">
        <v>105.39499999999975</v>
      </c>
      <c r="G4">
        <v>31.666999999999991</v>
      </c>
      <c r="I4">
        <f t="shared" si="0"/>
        <v>2.2149999999998471</v>
      </c>
      <c r="J4" s="1">
        <f t="shared" si="1"/>
        <v>2.0583588885789938E-2</v>
      </c>
    </row>
    <row r="5" spans="1:13">
      <c r="A5">
        <v>0</v>
      </c>
      <c r="B5">
        <v>116.85299999999981</v>
      </c>
      <c r="C5">
        <v>23.305999999999965</v>
      </c>
      <c r="D5">
        <v>136.35700000000028</v>
      </c>
      <c r="E5">
        <v>136.95800000000031</v>
      </c>
      <c r="F5">
        <v>110.42999999999969</v>
      </c>
      <c r="G5">
        <v>31.232999999999969</v>
      </c>
      <c r="I5">
        <f t="shared" si="0"/>
        <v>6.4230000000001155</v>
      </c>
      <c r="J5" s="1">
        <f t="shared" si="1"/>
        <v>5.49664963672317E-2</v>
      </c>
    </row>
    <row r="6" spans="1:13">
      <c r="A6">
        <v>1</v>
      </c>
      <c r="B6">
        <v>49.613999999999862</v>
      </c>
      <c r="C6">
        <v>60.180999999999976</v>
      </c>
      <c r="D6">
        <v>80.250000000000043</v>
      </c>
      <c r="E6">
        <v>80.250000000000043</v>
      </c>
      <c r="F6">
        <v>49.613999999999862</v>
      </c>
      <c r="G6">
        <v>60.180999999999976</v>
      </c>
      <c r="I6">
        <f t="shared" si="0"/>
        <v>0</v>
      </c>
      <c r="J6" s="1">
        <f t="shared" si="1"/>
        <v>0</v>
      </c>
    </row>
    <row r="7" spans="1:13">
      <c r="A7">
        <v>1</v>
      </c>
      <c r="B7">
        <v>71.270999999999972</v>
      </c>
      <c r="C7">
        <v>51.444000000000038</v>
      </c>
      <c r="D7">
        <v>102.99399999999963</v>
      </c>
      <c r="E7">
        <v>102.99399999999963</v>
      </c>
      <c r="F7">
        <v>71.270999999999972</v>
      </c>
      <c r="G7">
        <v>51.444000000000038</v>
      </c>
      <c r="I7">
        <f t="shared" si="0"/>
        <v>0</v>
      </c>
      <c r="J7" s="1">
        <f t="shared" si="1"/>
        <v>0</v>
      </c>
    </row>
    <row r="8" spans="1:13">
      <c r="A8">
        <v>1</v>
      </c>
      <c r="B8">
        <v>87.268999999999792</v>
      </c>
      <c r="C8">
        <v>31.901999999999987</v>
      </c>
      <c r="D8">
        <v>106.89599999999957</v>
      </c>
      <c r="E8">
        <v>108.63799999999952</v>
      </c>
      <c r="F8">
        <v>85.876999999999683</v>
      </c>
      <c r="G8">
        <v>36.61100000000004</v>
      </c>
      <c r="I8">
        <f t="shared" si="0"/>
        <v>1.3920000000001096</v>
      </c>
      <c r="J8" s="1">
        <f t="shared" si="1"/>
        <v>1.5950681227012032E-2</v>
      </c>
    </row>
    <row r="9" spans="1:13">
      <c r="A9">
        <v>1</v>
      </c>
      <c r="B9">
        <v>96.150999999999684</v>
      </c>
      <c r="C9">
        <v>26.27199999999997</v>
      </c>
      <c r="D9">
        <v>112.07599999999985</v>
      </c>
      <c r="E9">
        <v>112.69599999999961</v>
      </c>
      <c r="F9">
        <v>90.733999999999668</v>
      </c>
      <c r="G9">
        <v>34.944999999999972</v>
      </c>
      <c r="I9">
        <f t="shared" si="0"/>
        <v>5.4170000000000158</v>
      </c>
      <c r="J9" s="1">
        <f t="shared" si="1"/>
        <v>5.6338467618641863E-2</v>
      </c>
    </row>
    <row r="10" spans="1:13">
      <c r="A10">
        <v>2</v>
      </c>
      <c r="B10">
        <v>67.157999999999987</v>
      </c>
      <c r="C10">
        <v>33.685000000000009</v>
      </c>
      <c r="D10">
        <v>89.025999999999812</v>
      </c>
      <c r="E10">
        <v>89.025999999999812</v>
      </c>
      <c r="F10">
        <v>67.157999999999987</v>
      </c>
      <c r="G10">
        <v>33.685000000000009</v>
      </c>
      <c r="I10">
        <f t="shared" si="0"/>
        <v>0</v>
      </c>
      <c r="J10" s="1">
        <f t="shared" si="1"/>
        <v>0</v>
      </c>
    </row>
    <row r="11" spans="1:13">
      <c r="A11">
        <v>2</v>
      </c>
      <c r="B11">
        <v>90.217999999999662</v>
      </c>
      <c r="C11">
        <v>28.607999999999912</v>
      </c>
      <c r="D11">
        <v>111.41699999999969</v>
      </c>
      <c r="E11">
        <v>110.21299999999967</v>
      </c>
      <c r="F11">
        <v>89.057999999999822</v>
      </c>
      <c r="G11">
        <v>28.711999999999982</v>
      </c>
      <c r="I11">
        <f t="shared" si="0"/>
        <v>1.1599999999998403</v>
      </c>
      <c r="J11" s="1">
        <f t="shared" si="1"/>
        <v>1.2857744574251753E-2</v>
      </c>
    </row>
    <row r="12" spans="1:13">
      <c r="A12">
        <v>2</v>
      </c>
      <c r="B12">
        <v>97.778999999999598</v>
      </c>
      <c r="C12">
        <v>27.949000000000009</v>
      </c>
      <c r="D12">
        <v>118.6959999999997</v>
      </c>
      <c r="E12">
        <v>118.6959999999997</v>
      </c>
      <c r="F12">
        <v>97.778999999999598</v>
      </c>
      <c r="G12">
        <v>27.949000000000009</v>
      </c>
      <c r="I12">
        <f t="shared" si="0"/>
        <v>0</v>
      </c>
      <c r="J12" s="1">
        <f t="shared" si="1"/>
        <v>0</v>
      </c>
    </row>
    <row r="13" spans="1:13">
      <c r="A13">
        <v>2</v>
      </c>
      <c r="B13">
        <v>108.01799999999965</v>
      </c>
      <c r="C13">
        <v>19.375999999999948</v>
      </c>
      <c r="D13">
        <v>122.05799999999994</v>
      </c>
      <c r="E13">
        <v>122.61</v>
      </c>
      <c r="F13">
        <v>101.6479999999997</v>
      </c>
      <c r="G13">
        <v>27.540999999999993</v>
      </c>
      <c r="I13">
        <f t="shared" si="0"/>
        <v>6.3699999999999477</v>
      </c>
      <c r="J13" s="1">
        <f t="shared" si="1"/>
        <v>5.8971652872669082E-2</v>
      </c>
    </row>
    <row r="14" spans="1:13">
      <c r="A14">
        <v>3</v>
      </c>
      <c r="B14">
        <v>71.158000000000015</v>
      </c>
      <c r="C14">
        <v>32.244999999999948</v>
      </c>
      <c r="D14">
        <v>94.312999999999732</v>
      </c>
      <c r="E14">
        <v>94.312999999999732</v>
      </c>
      <c r="F14">
        <v>71.158000000000015</v>
      </c>
      <c r="G14">
        <v>32.244999999999948</v>
      </c>
      <c r="I14">
        <f t="shared" si="0"/>
        <v>0</v>
      </c>
      <c r="J14" s="1">
        <f t="shared" si="1"/>
        <v>0</v>
      </c>
    </row>
    <row r="15" spans="1:13">
      <c r="A15">
        <v>3</v>
      </c>
      <c r="B15">
        <v>97.643999999999664</v>
      </c>
      <c r="C15">
        <v>30.10700000000001</v>
      </c>
      <c r="D15">
        <v>121.61099999999993</v>
      </c>
      <c r="E15">
        <v>121.61099999999993</v>
      </c>
      <c r="F15">
        <v>97.643999999999664</v>
      </c>
      <c r="G15">
        <v>30.10700000000001</v>
      </c>
      <c r="I15">
        <f t="shared" si="0"/>
        <v>0</v>
      </c>
      <c r="J15" s="1">
        <f t="shared" si="1"/>
        <v>0</v>
      </c>
    </row>
    <row r="16" spans="1:13">
      <c r="A16">
        <v>3</v>
      </c>
      <c r="B16">
        <v>110.66999999999977</v>
      </c>
      <c r="C16">
        <v>19.392999999999962</v>
      </c>
      <c r="D16">
        <v>125.39699999999998</v>
      </c>
      <c r="E16">
        <v>129.7910000000002</v>
      </c>
      <c r="F16">
        <v>106.97899999999962</v>
      </c>
      <c r="G16">
        <v>28.997999999999934</v>
      </c>
      <c r="I16">
        <f t="shared" si="0"/>
        <v>3.6910000000001588</v>
      </c>
      <c r="J16" s="1">
        <f t="shared" si="1"/>
        <v>3.3351405078161797E-2</v>
      </c>
    </row>
    <row r="17" spans="1:10">
      <c r="A17">
        <v>3</v>
      </c>
      <c r="B17">
        <v>120.39899999999967</v>
      </c>
      <c r="C17">
        <v>17.875999999999969</v>
      </c>
      <c r="D17">
        <v>133.64600000000019</v>
      </c>
      <c r="E17">
        <v>133.03200000000007</v>
      </c>
      <c r="F17">
        <v>114.10799999999981</v>
      </c>
      <c r="G17">
        <v>24.436000000000014</v>
      </c>
      <c r="I17">
        <f t="shared" si="0"/>
        <v>6.2909999999998689</v>
      </c>
      <c r="J17" s="1">
        <f t="shared" si="1"/>
        <v>5.2251264545385645E-2</v>
      </c>
    </row>
    <row r="18" spans="1:10">
      <c r="A18">
        <v>4</v>
      </c>
      <c r="B18">
        <v>64.398999999999958</v>
      </c>
      <c r="C18">
        <v>46.068000000000005</v>
      </c>
      <c r="D18">
        <v>98.040999999999514</v>
      </c>
      <c r="E18">
        <v>98.146999999999593</v>
      </c>
      <c r="F18">
        <v>61.201000000000001</v>
      </c>
      <c r="G18">
        <v>48.372000000000064</v>
      </c>
      <c r="I18">
        <f t="shared" si="0"/>
        <v>3.1979999999999578</v>
      </c>
      <c r="J18" s="1">
        <f t="shared" si="1"/>
        <v>4.9659156198076988E-2</v>
      </c>
    </row>
    <row r="19" spans="1:10">
      <c r="A19">
        <v>4</v>
      </c>
      <c r="B19">
        <v>85.163999999999845</v>
      </c>
      <c r="C19">
        <v>41.83599999999992</v>
      </c>
      <c r="D19">
        <v>118.33099999999999</v>
      </c>
      <c r="E19">
        <v>121.00299999999994</v>
      </c>
      <c r="F19">
        <v>84.210999999999842</v>
      </c>
      <c r="G19">
        <v>43.367000000000012</v>
      </c>
      <c r="I19">
        <f t="shared" si="0"/>
        <v>0.95300000000000296</v>
      </c>
      <c r="J19" s="1">
        <f t="shared" si="1"/>
        <v>1.1190174252031429E-2</v>
      </c>
    </row>
    <row r="20" spans="1:10">
      <c r="A20">
        <v>4</v>
      </c>
      <c r="B20">
        <v>103.13999999999984</v>
      </c>
      <c r="C20">
        <v>27.799999999999958</v>
      </c>
      <c r="D20">
        <v>125.364</v>
      </c>
      <c r="E20">
        <v>127.51099999999995</v>
      </c>
      <c r="F20">
        <v>90.569999999999709</v>
      </c>
      <c r="G20">
        <v>43.034999999999975</v>
      </c>
      <c r="I20">
        <f t="shared" si="0"/>
        <v>12.570000000000135</v>
      </c>
      <c r="J20" s="1">
        <f t="shared" si="1"/>
        <v>0.12187318208260767</v>
      </c>
    </row>
    <row r="21" spans="1:10">
      <c r="A21">
        <v>4</v>
      </c>
      <c r="B21">
        <v>112.11699999999998</v>
      </c>
      <c r="C21">
        <v>21.286999999999932</v>
      </c>
      <c r="D21">
        <v>128.87499999999997</v>
      </c>
      <c r="E21">
        <v>132.69600000000011</v>
      </c>
      <c r="F21">
        <v>110.16799999999972</v>
      </c>
      <c r="G21">
        <v>26.652000000000005</v>
      </c>
      <c r="I21">
        <f t="shared" si="0"/>
        <v>1.9490000000002539</v>
      </c>
      <c r="J21" s="1">
        <f t="shared" si="1"/>
        <v>1.7383626033520824E-2</v>
      </c>
    </row>
    <row r="22" spans="1:10">
      <c r="A22">
        <v>5</v>
      </c>
      <c r="B22">
        <v>67.030000000000086</v>
      </c>
      <c r="C22">
        <v>31.104000000000013</v>
      </c>
      <c r="D22">
        <v>90.360999999999763</v>
      </c>
      <c r="E22">
        <v>90.360999999999763</v>
      </c>
      <c r="F22">
        <v>67.030000000000086</v>
      </c>
      <c r="G22">
        <v>31.104000000000013</v>
      </c>
      <c r="I22">
        <f t="shared" si="0"/>
        <v>0</v>
      </c>
      <c r="J22" s="1">
        <f t="shared" si="1"/>
        <v>0</v>
      </c>
    </row>
    <row r="23" spans="1:10">
      <c r="A23">
        <v>5</v>
      </c>
      <c r="B23">
        <v>89.944999999999766</v>
      </c>
      <c r="C23">
        <v>30.843999999999983</v>
      </c>
      <c r="D23">
        <v>113.19299999999978</v>
      </c>
      <c r="E23">
        <v>113.19299999999978</v>
      </c>
      <c r="F23">
        <v>89.944999999999766</v>
      </c>
      <c r="G23">
        <v>30.843999999999983</v>
      </c>
      <c r="I23">
        <f t="shared" si="0"/>
        <v>0</v>
      </c>
      <c r="J23" s="1">
        <f t="shared" si="1"/>
        <v>0</v>
      </c>
    </row>
    <row r="24" spans="1:10">
      <c r="A24">
        <v>5</v>
      </c>
      <c r="B24">
        <v>103.79999999999971</v>
      </c>
      <c r="C24">
        <v>20.36199999999997</v>
      </c>
      <c r="D24">
        <v>119.65599999999975</v>
      </c>
      <c r="E24">
        <v>121.27099999999984</v>
      </c>
      <c r="F24">
        <v>97.237999999999658</v>
      </c>
      <c r="G24">
        <v>31.375999999999987</v>
      </c>
      <c r="I24">
        <f t="shared" si="0"/>
        <v>6.5620000000000545</v>
      </c>
      <c r="J24" s="1">
        <f t="shared" si="1"/>
        <v>6.3217726396917848E-2</v>
      </c>
    </row>
    <row r="25" spans="1:10">
      <c r="A25">
        <v>5</v>
      </c>
      <c r="B25">
        <v>110.53799999999964</v>
      </c>
      <c r="C25">
        <v>15.66</v>
      </c>
      <c r="D25">
        <v>122.43099999999991</v>
      </c>
      <c r="E25">
        <v>127.32400000000007</v>
      </c>
      <c r="F25">
        <v>112.8629999999997</v>
      </c>
      <c r="G25">
        <v>18.785000000000007</v>
      </c>
      <c r="I25">
        <f t="shared" si="0"/>
        <v>-2.3250000000000597</v>
      </c>
      <c r="J25" s="1">
        <f t="shared" si="1"/>
        <v>-2.1033490745264682E-2</v>
      </c>
    </row>
    <row r="26" spans="1:10">
      <c r="A26">
        <v>6</v>
      </c>
      <c r="B26">
        <v>71.157000000000124</v>
      </c>
      <c r="C26">
        <v>35.987999999999992</v>
      </c>
      <c r="D26">
        <v>98.097999999999743</v>
      </c>
      <c r="E26">
        <v>98.097999999999743</v>
      </c>
      <c r="F26">
        <v>71.157000000000124</v>
      </c>
      <c r="G26">
        <v>35.987999999999992</v>
      </c>
      <c r="I26">
        <f t="shared" si="0"/>
        <v>0</v>
      </c>
      <c r="J26" s="1">
        <f t="shared" si="1"/>
        <v>0</v>
      </c>
    </row>
    <row r="27" spans="1:10">
      <c r="A27">
        <v>6</v>
      </c>
      <c r="B27">
        <v>94.531999999999684</v>
      </c>
      <c r="C27">
        <v>30.240999999999989</v>
      </c>
      <c r="D27">
        <v>118.98499999999984</v>
      </c>
      <c r="E27">
        <v>118.98499999999984</v>
      </c>
      <c r="F27">
        <v>94.531999999999684</v>
      </c>
      <c r="G27">
        <v>30.240999999999989</v>
      </c>
      <c r="I27">
        <f t="shared" si="0"/>
        <v>0</v>
      </c>
      <c r="J27" s="1">
        <f t="shared" si="1"/>
        <v>0</v>
      </c>
    </row>
    <row r="28" spans="1:10">
      <c r="A28">
        <v>6</v>
      </c>
      <c r="B28">
        <v>108.25599999999966</v>
      </c>
      <c r="C28">
        <v>19.773999999999944</v>
      </c>
      <c r="D28">
        <v>123.87100000000005</v>
      </c>
      <c r="E28">
        <v>126.35500000000005</v>
      </c>
      <c r="F28">
        <v>100.99899999999961</v>
      </c>
      <c r="G28">
        <v>29.926999999999992</v>
      </c>
      <c r="I28">
        <f t="shared" si="0"/>
        <v>7.2570000000000476</v>
      </c>
      <c r="J28" s="1">
        <f t="shared" si="1"/>
        <v>6.7035545373929112E-2</v>
      </c>
    </row>
    <row r="29" spans="1:10">
      <c r="A29">
        <v>6</v>
      </c>
      <c r="B29">
        <v>115.64299999999977</v>
      </c>
      <c r="C29">
        <v>18.75299999999995</v>
      </c>
      <c r="D29">
        <v>130.7210000000002</v>
      </c>
      <c r="E29">
        <v>130.50100000000009</v>
      </c>
      <c r="F29">
        <v>104.6269999999997</v>
      </c>
      <c r="G29">
        <v>30.092000000000038</v>
      </c>
      <c r="I29">
        <f t="shared" si="0"/>
        <v>11.016000000000076</v>
      </c>
      <c r="J29" s="1">
        <f t="shared" si="1"/>
        <v>9.5258684053510359E-2</v>
      </c>
    </row>
    <row r="30" spans="1:10">
      <c r="A30">
        <v>7</v>
      </c>
      <c r="B30">
        <v>55.724999999999895</v>
      </c>
      <c r="C30">
        <v>48.072999999999958</v>
      </c>
      <c r="D30">
        <v>85.551999999999907</v>
      </c>
      <c r="E30">
        <v>85.551999999999907</v>
      </c>
      <c r="F30">
        <v>55.724999999999895</v>
      </c>
      <c r="G30">
        <v>48.072999999999958</v>
      </c>
      <c r="I30">
        <f t="shared" si="0"/>
        <v>0</v>
      </c>
      <c r="J30" s="1">
        <f t="shared" si="1"/>
        <v>0</v>
      </c>
    </row>
    <row r="31" spans="1:10">
      <c r="A31">
        <v>7</v>
      </c>
      <c r="B31">
        <v>74.765999999999991</v>
      </c>
      <c r="C31">
        <v>30.952999999999978</v>
      </c>
      <c r="D31">
        <v>92.806999999999661</v>
      </c>
      <c r="E31">
        <v>100.47599999999957</v>
      </c>
      <c r="F31">
        <v>70.333999999999975</v>
      </c>
      <c r="G31">
        <v>45.131999999999948</v>
      </c>
      <c r="I31">
        <f t="shared" si="0"/>
        <v>4.4320000000000164</v>
      </c>
      <c r="J31" s="1">
        <f t="shared" si="1"/>
        <v>5.927828157183769E-2</v>
      </c>
    </row>
    <row r="32" spans="1:10">
      <c r="A32">
        <v>7</v>
      </c>
      <c r="B32">
        <v>90.740999999999758</v>
      </c>
      <c r="C32">
        <v>27.851999999999993</v>
      </c>
      <c r="D32">
        <v>109.58199999999977</v>
      </c>
      <c r="E32">
        <v>108.63199999999959</v>
      </c>
      <c r="F32">
        <v>78.754999999999811</v>
      </c>
      <c r="G32">
        <v>43.450999999999958</v>
      </c>
      <c r="I32">
        <f t="shared" si="0"/>
        <v>11.985999999999947</v>
      </c>
      <c r="J32" s="1">
        <f t="shared" si="1"/>
        <v>0.13209023484422674</v>
      </c>
    </row>
    <row r="33" spans="1:10">
      <c r="A33">
        <v>7</v>
      </c>
      <c r="B33">
        <v>97.811999999999628</v>
      </c>
      <c r="C33">
        <v>27.241999999999994</v>
      </c>
      <c r="D33">
        <v>116.81900000000009</v>
      </c>
      <c r="E33">
        <v>117.52499999999975</v>
      </c>
      <c r="F33">
        <v>98.669999999999789</v>
      </c>
      <c r="G33">
        <v>26.186999999999983</v>
      </c>
      <c r="I33">
        <f t="shared" si="0"/>
        <v>-0.85800000000016041</v>
      </c>
      <c r="J33" s="1">
        <f t="shared" si="1"/>
        <v>-8.771929824563077E-3</v>
      </c>
    </row>
    <row r="34" spans="1:10">
      <c r="A34">
        <v>8</v>
      </c>
      <c r="B34">
        <v>74.559999999999945</v>
      </c>
      <c r="C34">
        <v>29.140999999999995</v>
      </c>
      <c r="D34">
        <v>95.242999999999711</v>
      </c>
      <c r="E34">
        <v>95.242999999999711</v>
      </c>
      <c r="F34">
        <v>74.559999999999945</v>
      </c>
      <c r="G34">
        <v>29.140999999999995</v>
      </c>
      <c r="I34">
        <f t="shared" si="0"/>
        <v>0</v>
      </c>
      <c r="J34" s="1">
        <f t="shared" si="1"/>
        <v>0</v>
      </c>
    </row>
    <row r="35" spans="1:10">
      <c r="A35">
        <v>8</v>
      </c>
      <c r="B35">
        <v>96.728999999999644</v>
      </c>
      <c r="C35">
        <v>22.732999999999976</v>
      </c>
      <c r="D35">
        <v>116.3479999999998</v>
      </c>
      <c r="E35">
        <v>116.3479999999998</v>
      </c>
      <c r="F35">
        <v>96.728999999999644</v>
      </c>
      <c r="G35">
        <v>22.732999999999976</v>
      </c>
      <c r="I35">
        <f t="shared" si="0"/>
        <v>0</v>
      </c>
      <c r="J35" s="1">
        <f t="shared" si="1"/>
        <v>0</v>
      </c>
    </row>
    <row r="36" spans="1:10">
      <c r="A36">
        <v>8</v>
      </c>
      <c r="B36">
        <v>103.75599999999956</v>
      </c>
      <c r="C36">
        <v>18.394999999999936</v>
      </c>
      <c r="D36">
        <v>116.53099999999979</v>
      </c>
      <c r="E36">
        <v>124.81000000000004</v>
      </c>
      <c r="F36">
        <v>103.83199999999984</v>
      </c>
      <c r="G36">
        <v>22.835999999999967</v>
      </c>
      <c r="I36">
        <f t="shared" si="0"/>
        <v>-7.6000000000277623E-2</v>
      </c>
      <c r="J36" s="1">
        <f t="shared" si="1"/>
        <v>-7.324877597466936E-4</v>
      </c>
    </row>
    <row r="37" spans="1:10">
      <c r="A37">
        <v>8</v>
      </c>
      <c r="B37">
        <v>115.08999999999969</v>
      </c>
      <c r="C37">
        <v>15.754999999999951</v>
      </c>
      <c r="D37">
        <v>128.28200000000018</v>
      </c>
      <c r="E37">
        <v>128.15300000000005</v>
      </c>
      <c r="F37">
        <v>105.59399999999987</v>
      </c>
      <c r="G37">
        <v>25.69899999999998</v>
      </c>
      <c r="I37">
        <f t="shared" si="0"/>
        <v>9.4959999999998246</v>
      </c>
      <c r="J37" s="1">
        <f t="shared" si="1"/>
        <v>8.2509340516116525E-2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5857-8A22-5842-B169-872A67A3CA47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6F0DDC-A4F1-E54F-A001-C0B1C7EE01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お互いにDP(middense_cc_user_p2_egot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2025-12-02T05:59:40Z</dcterms:created>
  <dcterms:modified xsi:type="dcterms:W3CDTF">2025-12-03T07:02:41Z</dcterms:modified>
</cp:coreProperties>
</file>