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riogawa/研究/community-detection-social-networks/result/平均クラスター係数基準/"/>
    </mc:Choice>
  </mc:AlternateContent>
  <xr:revisionPtr revIDLastSave="0" documentId="13_ncr:1_{CC381239-BA3D-0B4A-AD94-A147D6DAF0C6}" xr6:coauthVersionLast="47" xr6:coauthVersionMax="47" xr10:uidLastSave="{00000000-0000-0000-0000-000000000000}"/>
  <bookViews>
    <workbookView xWindow="3040" yWindow="2000" windowWidth="27900" windowHeight="16860" xr2:uid="{723D6D88-8CEE-3844-A613-806DD986FBE7}"/>
  </bookViews>
  <sheets>
    <sheet name="お互いにDP(middense_cc_infl_p2_egot" sheetId="2" r:id="rId1"/>
    <sheet name="Sheet1" sheetId="1" r:id="rId2"/>
  </sheets>
  <definedNames>
    <definedName name="ExternalData_1" localSheetId="0" hidden="1">'お互いにDP(middense_cc_infl_p2_egot'!$A$1:$G$37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2" l="1"/>
  <c r="M2" i="2"/>
  <c r="M1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1F44FF-46EA-C343-81CF-C8252E054F2E}" keepAlive="1" name="クエリ - お互いにDP(middense_cc_infl_p2_egotwitter)" description="ブック内の 'お互いにDP(middense_cc_infl_p2_egotwitter)' クエリへの接続です。" type="5" refreshedVersion="8" background="1" saveData="1">
    <dbPr connection="Provider=Microsoft.Mashup.OleDb.1;Data Source=$Workbook$;Location=お互いにDP(middense_cc_infl_p2_egotwitter);Extended Properties=&quot;&quot;" command="SELECT * FROM [お互いにDP(middense_cc_infl_p2_egotwitter)]"/>
  </connection>
</connections>
</file>

<file path=xl/sharedStrings.xml><?xml version="1.0" encoding="utf-8"?>
<sst xmlns="http://schemas.openxmlformats.org/spreadsheetml/2006/main" count="12" uniqueCount="12">
  <si>
    <t>Seed</t>
  </si>
  <si>
    <t>ありの解</t>
  </si>
  <si>
    <t>ありの解2</t>
  </si>
  <si>
    <t>ありをなし</t>
  </si>
  <si>
    <t>なしの解</t>
  </si>
  <si>
    <t>なしの解をアリ</t>
  </si>
  <si>
    <t>なしの解をアリ2</t>
  </si>
  <si>
    <t>ありの優位性</t>
    <phoneticPr fontId="1"/>
  </si>
  <si>
    <t>割合</t>
    <rPh sb="0" eb="2">
      <t>ワリアイ</t>
    </rPh>
    <phoneticPr fontId="1"/>
  </si>
  <si>
    <t>最大</t>
    <rPh sb="0" eb="2">
      <t>サイダイ</t>
    </rPh>
    <phoneticPr fontId="1"/>
  </si>
  <si>
    <t>平均</t>
    <rPh sb="0" eb="2">
      <t>ヘイキn</t>
    </rPh>
    <phoneticPr fontId="1"/>
  </si>
  <si>
    <t>一致率</t>
    <rPh sb="0" eb="3">
      <t>イッティ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</si>
</sst>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.000%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0" fontId="0" fillId="0" borderId="0" xfId="1" applyNumberFormat="1" applyFont="1">
      <alignment vertical="center"/>
    </xf>
    <xf numFmtId="180" fontId="0" fillId="0" borderId="0" xfId="1" applyNumberFormat="1" applyFont="1">
      <alignment vertical="center"/>
    </xf>
    <xf numFmtId="180" fontId="0" fillId="0" borderId="0" xfId="0" applyNumberFormat="1">
      <alignment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A30F5A-D8EB-F84F-A83A-85C05B5A5623}" autoFormatId="20" applyNumberFormats="0" applyBorderFormats="0" applyFontFormats="0" applyPatternFormats="0" applyAlignmentFormats="0" applyWidthHeightFormats="0">
  <queryTableRefresh nextId="8">
    <queryTableFields count="7">
      <queryTableField id="1" name="Seed" tableColumnId="1"/>
      <queryTableField id="2" name="ありの解" tableColumnId="2"/>
      <queryTableField id="3" name="ありの解2" tableColumnId="3"/>
      <queryTableField id="4" name="ありをなし" tableColumnId="4"/>
      <queryTableField id="5" name="なしの解" tableColumnId="5"/>
      <queryTableField id="6" name="なしの解をアリ" tableColumnId="6"/>
      <queryTableField id="7" name="なしの解をアリ2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0BEE22-BAEC-9B4F-A2B1-EC6A18ED1252}" name="お互いにDP_middense_cc_infl_p2_egotwitter" displayName="お互いにDP_middense_cc_infl_p2_egotwitter" ref="A1:G37" tableType="queryTable" totalsRowShown="0">
  <autoFilter ref="A1:G37" xr:uid="{B80BEE22-BAEC-9B4F-A2B1-EC6A18ED1252}"/>
  <tableColumns count="7">
    <tableColumn id="1" xr3:uid="{4D4BDEDA-C178-004F-AC27-5184E5BA5FD4}" uniqueName="1" name="Seed" queryTableFieldId="1"/>
    <tableColumn id="2" xr3:uid="{6BA66B21-63BF-F94F-8683-394FC49E99C5}" uniqueName="2" name="ありの解" queryTableFieldId="2"/>
    <tableColumn id="3" xr3:uid="{3430A3AF-DDC9-D342-9449-F42F5E5243D7}" uniqueName="3" name="ありの解2" queryTableFieldId="3"/>
    <tableColumn id="4" xr3:uid="{12ECA839-D699-EA4A-B5C2-197CC8BE13F3}" uniqueName="4" name="ありをなし" queryTableFieldId="4"/>
    <tableColumn id="5" xr3:uid="{B6FCE117-BDD3-FC48-A447-566469E95E3B}" uniqueName="5" name="なしの解" queryTableFieldId="5"/>
    <tableColumn id="6" xr3:uid="{D0FCB5AB-919B-D546-B769-1AFCFB5D2B72}" uniqueName="6" name="なしの解をアリ" queryTableFieldId="6"/>
    <tableColumn id="7" xr3:uid="{3F74E8C1-FA0D-534F-B7A2-AB4CAE2C0D85}" uniqueName="7" name="なしの解をアリ2" queryTableFieldId="7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09B8B-4312-2143-9A91-1FF276DBCDD1}">
  <dimension ref="A1:M37"/>
  <sheetViews>
    <sheetView tabSelected="1" workbookViewId="0">
      <selection activeCell="L11" sqref="L11"/>
    </sheetView>
  </sheetViews>
  <sheetFormatPr baseColWidth="10" defaultRowHeight="20"/>
  <cols>
    <col min="1" max="1" width="8" bestFit="1" customWidth="1"/>
    <col min="3" max="3" width="11.7109375" bestFit="1" customWidth="1"/>
    <col min="4" max="4" width="12.42578125" bestFit="1" customWidth="1"/>
    <col min="6" max="6" width="16" bestFit="1" customWidth="1"/>
    <col min="7" max="7" width="17.140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t="s">
        <v>9</v>
      </c>
      <c r="M1" s="3">
        <f>MAX(J2:J37)</f>
        <v>0.35575895343760788</v>
      </c>
    </row>
    <row r="2" spans="1:13">
      <c r="A2">
        <v>0</v>
      </c>
      <c r="B2">
        <v>73.65100000000001</v>
      </c>
      <c r="C2">
        <v>42.296999999999983</v>
      </c>
      <c r="D2">
        <v>99.985999999999621</v>
      </c>
      <c r="E2">
        <v>96.248999999999711</v>
      </c>
      <c r="F2">
        <v>48.101999999999983</v>
      </c>
      <c r="G2">
        <v>70.80699999999996</v>
      </c>
      <c r="I2">
        <f>(B2-F2)</f>
        <v>25.549000000000028</v>
      </c>
      <c r="J2" s="2">
        <f>I2/B2</f>
        <v>0.34689277810213065</v>
      </c>
      <c r="L2" t="s">
        <v>10</v>
      </c>
      <c r="M2" s="3">
        <f>AVERAGE(J2:J37)</f>
        <v>9.6207897672164144E-2</v>
      </c>
    </row>
    <row r="3" spans="1:13">
      <c r="A3">
        <v>0</v>
      </c>
      <c r="B3">
        <v>127.27500000000019</v>
      </c>
      <c r="C3">
        <v>31.424999999999986</v>
      </c>
      <c r="D3">
        <v>153.34100000000024</v>
      </c>
      <c r="E3">
        <v>151.09500000000023</v>
      </c>
      <c r="F3">
        <v>114.02199999999979</v>
      </c>
      <c r="G3">
        <v>41.774999999999984</v>
      </c>
      <c r="I3">
        <f t="shared" ref="I3:I37" si="0">(B3-F3)</f>
        <v>13.253000000000398</v>
      </c>
      <c r="J3" s="2">
        <f t="shared" ref="J3:J37" si="1">I3/B3</f>
        <v>0.10412885484188079</v>
      </c>
      <c r="L3" t="s">
        <v>11</v>
      </c>
      <c r="M3" s="1">
        <f>COUNTIF(I2:I37,0)/COUNT(I2:I37)</f>
        <v>0</v>
      </c>
    </row>
    <row r="4" spans="1:13">
      <c r="A4">
        <v>0</v>
      </c>
      <c r="B4">
        <v>139.5680000000001</v>
      </c>
      <c r="C4">
        <v>30.66199999999996</v>
      </c>
      <c r="D4">
        <v>165.65500000000009</v>
      </c>
      <c r="E4">
        <v>166.19300000000047</v>
      </c>
      <c r="F4">
        <v>133.03900000000013</v>
      </c>
      <c r="G4">
        <v>36.213999999999913</v>
      </c>
      <c r="I4">
        <f t="shared" si="0"/>
        <v>6.5289999999999679</v>
      </c>
      <c r="J4" s="2">
        <f t="shared" si="1"/>
        <v>4.6780064198096723E-2</v>
      </c>
    </row>
    <row r="5" spans="1:13">
      <c r="A5">
        <v>0</v>
      </c>
      <c r="B5">
        <v>155.08400000000029</v>
      </c>
      <c r="C5">
        <v>19.140999999999959</v>
      </c>
      <c r="D5">
        <v>170.84700000000049</v>
      </c>
      <c r="E5">
        <v>174.52600000000055</v>
      </c>
      <c r="F5">
        <v>141.17200000000022</v>
      </c>
      <c r="G5">
        <v>35.783999999999949</v>
      </c>
      <c r="I5">
        <f t="shared" si="0"/>
        <v>13.912000000000063</v>
      </c>
      <c r="J5" s="2">
        <f t="shared" si="1"/>
        <v>8.9706223723917594E-2</v>
      </c>
    </row>
    <row r="6" spans="1:13">
      <c r="A6">
        <v>1</v>
      </c>
      <c r="B6">
        <v>69.913000000000054</v>
      </c>
      <c r="C6">
        <v>52.844999999999963</v>
      </c>
      <c r="D6">
        <v>99.586999999999776</v>
      </c>
      <c r="E6">
        <v>97.046999999999656</v>
      </c>
      <c r="F6">
        <v>61.262999999999927</v>
      </c>
      <c r="G6">
        <v>59.689999999999991</v>
      </c>
      <c r="I6">
        <f t="shared" si="0"/>
        <v>8.6500000000001265</v>
      </c>
      <c r="J6" s="2">
        <f t="shared" si="1"/>
        <v>0.12372520132164433</v>
      </c>
    </row>
    <row r="7" spans="1:13">
      <c r="A7">
        <v>1</v>
      </c>
      <c r="B7">
        <v>111.64099999999981</v>
      </c>
      <c r="C7">
        <v>45.782999999999994</v>
      </c>
      <c r="D7">
        <v>140.91200000000032</v>
      </c>
      <c r="E7">
        <v>139.95400000000024</v>
      </c>
      <c r="F7">
        <v>104.95899999999963</v>
      </c>
      <c r="G7">
        <v>51.681000000000061</v>
      </c>
      <c r="I7">
        <f t="shared" si="0"/>
        <v>6.6820000000001727</v>
      </c>
      <c r="J7" s="2">
        <f t="shared" si="1"/>
        <v>5.9852563126451611E-2</v>
      </c>
    </row>
    <row r="8" spans="1:13">
      <c r="A8">
        <v>1</v>
      </c>
      <c r="B8">
        <v>134.81000000000006</v>
      </c>
      <c r="C8">
        <v>27.242000000000026</v>
      </c>
      <c r="D8">
        <v>152.91900000000038</v>
      </c>
      <c r="E8">
        <v>155.99700000000044</v>
      </c>
      <c r="F8">
        <v>123.27299999999988</v>
      </c>
      <c r="G8">
        <v>48.101000000000035</v>
      </c>
      <c r="I8">
        <f t="shared" si="0"/>
        <v>11.537000000000177</v>
      </c>
      <c r="J8" s="2">
        <f t="shared" si="1"/>
        <v>8.5579704769677106E-2</v>
      </c>
    </row>
    <row r="9" spans="1:13">
      <c r="A9">
        <v>1</v>
      </c>
      <c r="B9">
        <v>146.86100000000008</v>
      </c>
      <c r="C9">
        <v>21.894999999999957</v>
      </c>
      <c r="D9">
        <v>162.04200000000046</v>
      </c>
      <c r="E9">
        <v>167.25200000000046</v>
      </c>
      <c r="F9">
        <v>146.81200000000055</v>
      </c>
      <c r="G9">
        <v>30.699999999999982</v>
      </c>
      <c r="I9">
        <f t="shared" si="0"/>
        <v>4.8999999999523425E-2</v>
      </c>
      <c r="J9" s="2">
        <f t="shared" si="1"/>
        <v>3.3364882439533572E-4</v>
      </c>
    </row>
    <row r="10" spans="1:13">
      <c r="A10">
        <v>2</v>
      </c>
      <c r="B10">
        <v>80.106999999999914</v>
      </c>
      <c r="C10">
        <v>32.464000000000013</v>
      </c>
      <c r="D10">
        <v>100.83599999999964</v>
      </c>
      <c r="E10">
        <v>94.373999999999825</v>
      </c>
      <c r="F10">
        <v>55.783999999999928</v>
      </c>
      <c r="G10">
        <v>59.714000000000041</v>
      </c>
      <c r="I10">
        <f t="shared" si="0"/>
        <v>24.322999999999986</v>
      </c>
      <c r="J10" s="2">
        <f t="shared" si="1"/>
        <v>0.30363139301184683</v>
      </c>
    </row>
    <row r="11" spans="1:13">
      <c r="A11">
        <v>2</v>
      </c>
      <c r="B11">
        <v>117.52499999999976</v>
      </c>
      <c r="C11">
        <v>28.673999999999957</v>
      </c>
      <c r="D11">
        <v>139.53400000000008</v>
      </c>
      <c r="E11">
        <v>144.00700000000001</v>
      </c>
      <c r="F11">
        <v>121.07299999999981</v>
      </c>
      <c r="G11">
        <v>29.366999999999976</v>
      </c>
      <c r="I11">
        <f t="shared" si="0"/>
        <v>-3.5480000000000445</v>
      </c>
      <c r="J11" s="2">
        <f t="shared" si="1"/>
        <v>-3.0189321420974701E-2</v>
      </c>
    </row>
    <row r="12" spans="1:13">
      <c r="A12">
        <v>2</v>
      </c>
      <c r="B12">
        <v>137.01900000000009</v>
      </c>
      <c r="C12">
        <v>27.329999999999952</v>
      </c>
      <c r="D12">
        <v>158.17000000000027</v>
      </c>
      <c r="E12">
        <v>159.70299999999997</v>
      </c>
      <c r="F12">
        <v>138.54500000000007</v>
      </c>
      <c r="G12">
        <v>27.284999999999979</v>
      </c>
      <c r="I12">
        <f t="shared" si="0"/>
        <v>-1.525999999999982</v>
      </c>
      <c r="J12" s="2">
        <f t="shared" si="1"/>
        <v>-1.1137141564308461E-2</v>
      </c>
    </row>
    <row r="13" spans="1:13">
      <c r="A13">
        <v>2</v>
      </c>
      <c r="B13">
        <v>151.57900000000001</v>
      </c>
      <c r="C13">
        <v>17.523999999999965</v>
      </c>
      <c r="D13">
        <v>165.19700000000034</v>
      </c>
      <c r="E13">
        <v>168.5890000000004</v>
      </c>
      <c r="F13">
        <v>147.9890000000004</v>
      </c>
      <c r="G13">
        <v>25.991999999999994</v>
      </c>
      <c r="I13">
        <f t="shared" si="0"/>
        <v>3.5899999999996055</v>
      </c>
      <c r="J13" s="2">
        <f t="shared" si="1"/>
        <v>2.3684019554157273E-2</v>
      </c>
    </row>
    <row r="14" spans="1:13">
      <c r="A14">
        <v>3</v>
      </c>
      <c r="B14">
        <v>77.941999999999894</v>
      </c>
      <c r="C14">
        <v>32.13300000000001</v>
      </c>
      <c r="D14">
        <v>101.42299999999955</v>
      </c>
      <c r="E14">
        <v>99.279999999999674</v>
      </c>
      <c r="F14">
        <v>61.306999999999938</v>
      </c>
      <c r="G14">
        <v>51.031000000000098</v>
      </c>
      <c r="I14">
        <f t="shared" si="0"/>
        <v>16.634999999999955</v>
      </c>
      <c r="J14" s="2">
        <f t="shared" si="1"/>
        <v>0.21342793359164478</v>
      </c>
    </row>
    <row r="15" spans="1:13">
      <c r="A15">
        <v>3</v>
      </c>
      <c r="B15">
        <v>120.83699999999982</v>
      </c>
      <c r="C15">
        <v>28.121999999999939</v>
      </c>
      <c r="D15">
        <v>143.46300000000008</v>
      </c>
      <c r="E15">
        <v>145.43600000000032</v>
      </c>
      <c r="F15">
        <v>108.74999999999982</v>
      </c>
      <c r="G15">
        <v>45.110999999999997</v>
      </c>
      <c r="I15">
        <f t="shared" si="0"/>
        <v>12.087000000000003</v>
      </c>
      <c r="J15" s="2">
        <f t="shared" si="1"/>
        <v>0.10002730951612521</v>
      </c>
    </row>
    <row r="16" spans="1:13">
      <c r="A16">
        <v>3</v>
      </c>
      <c r="B16">
        <v>138.32700000000008</v>
      </c>
      <c r="C16">
        <v>17.011999999999965</v>
      </c>
      <c r="D16">
        <v>152.17500000000038</v>
      </c>
      <c r="E16">
        <v>158.97900000000027</v>
      </c>
      <c r="F16">
        <v>123.34899999999996</v>
      </c>
      <c r="G16">
        <v>44.492999999999974</v>
      </c>
      <c r="I16">
        <f t="shared" si="0"/>
        <v>14.978000000000122</v>
      </c>
      <c r="J16" s="2">
        <f t="shared" si="1"/>
        <v>0.10827965617703061</v>
      </c>
    </row>
    <row r="17" spans="1:10">
      <c r="A17">
        <v>3</v>
      </c>
      <c r="B17">
        <v>151.10100000000031</v>
      </c>
      <c r="C17">
        <v>17.155999999999988</v>
      </c>
      <c r="D17">
        <v>164.22400000000027</v>
      </c>
      <c r="E17">
        <v>168.26900000000063</v>
      </c>
      <c r="F17">
        <v>132.34200000000021</v>
      </c>
      <c r="G17">
        <v>44.246000000000095</v>
      </c>
      <c r="I17">
        <f t="shared" si="0"/>
        <v>18.7590000000001</v>
      </c>
      <c r="J17" s="2">
        <f t="shared" si="1"/>
        <v>0.1241487481882983</v>
      </c>
    </row>
    <row r="18" spans="1:10">
      <c r="A18">
        <v>4</v>
      </c>
      <c r="B18">
        <v>66.426999999999992</v>
      </c>
      <c r="C18">
        <v>46.252000000000017</v>
      </c>
      <c r="D18">
        <v>101.57599999999958</v>
      </c>
      <c r="E18">
        <v>97.775999999999925</v>
      </c>
      <c r="F18">
        <v>42.795000000000016</v>
      </c>
      <c r="G18">
        <v>79.711999999999833</v>
      </c>
      <c r="I18">
        <f t="shared" si="0"/>
        <v>23.631999999999977</v>
      </c>
      <c r="J18" s="2">
        <f t="shared" si="1"/>
        <v>0.35575895343760788</v>
      </c>
    </row>
    <row r="19" spans="1:10">
      <c r="A19">
        <v>4</v>
      </c>
      <c r="B19">
        <v>120.173</v>
      </c>
      <c r="C19">
        <v>39.402000000000001</v>
      </c>
      <c r="D19">
        <v>152.92400000000018</v>
      </c>
      <c r="E19">
        <v>148.37400000000031</v>
      </c>
      <c r="F19">
        <v>98.160999999999689</v>
      </c>
      <c r="G19">
        <v>58.929000000000116</v>
      </c>
      <c r="I19">
        <f t="shared" si="0"/>
        <v>22.012000000000313</v>
      </c>
      <c r="J19" s="2">
        <f t="shared" si="1"/>
        <v>0.18316926431062147</v>
      </c>
    </row>
    <row r="20" spans="1:10">
      <c r="A20">
        <v>4</v>
      </c>
      <c r="B20">
        <v>134.91200000000023</v>
      </c>
      <c r="C20">
        <v>25.338999999999984</v>
      </c>
      <c r="D20">
        <v>155.6410000000003</v>
      </c>
      <c r="E20">
        <v>166.38300000000035</v>
      </c>
      <c r="F20">
        <v>118.1669999999999</v>
      </c>
      <c r="G20">
        <v>55.926000000000073</v>
      </c>
      <c r="I20">
        <f t="shared" si="0"/>
        <v>16.745000000000331</v>
      </c>
      <c r="J20" s="2">
        <f t="shared" si="1"/>
        <v>0.12411794354838934</v>
      </c>
    </row>
    <row r="21" spans="1:10">
      <c r="A21">
        <v>4</v>
      </c>
      <c r="B21">
        <v>148.52400000000023</v>
      </c>
      <c r="C21">
        <v>24.611999999999998</v>
      </c>
      <c r="D21">
        <v>169.38000000000031</v>
      </c>
      <c r="E21">
        <v>175.12700000000061</v>
      </c>
      <c r="F21">
        <v>128.10100000000014</v>
      </c>
      <c r="G21">
        <v>53.938000000000038</v>
      </c>
      <c r="I21">
        <f t="shared" si="0"/>
        <v>20.423000000000087</v>
      </c>
      <c r="J21" s="2">
        <f t="shared" si="1"/>
        <v>0.13750639627265665</v>
      </c>
    </row>
    <row r="22" spans="1:10">
      <c r="A22">
        <v>5</v>
      </c>
      <c r="B22">
        <v>77.082999999999856</v>
      </c>
      <c r="C22">
        <v>30.447999999999968</v>
      </c>
      <c r="D22">
        <v>100.12699999999974</v>
      </c>
      <c r="E22">
        <v>98.093999999999753</v>
      </c>
      <c r="F22">
        <v>71.528999999999868</v>
      </c>
      <c r="G22">
        <v>35.136000000000017</v>
      </c>
      <c r="I22">
        <f t="shared" si="0"/>
        <v>5.5539999999999878</v>
      </c>
      <c r="J22" s="2">
        <f t="shared" si="1"/>
        <v>7.2052203468987955E-2</v>
      </c>
    </row>
    <row r="23" spans="1:10">
      <c r="A23">
        <v>5</v>
      </c>
      <c r="B23">
        <v>112.20199999999984</v>
      </c>
      <c r="C23">
        <v>27.998999999999988</v>
      </c>
      <c r="D23">
        <v>133.0190000000004</v>
      </c>
      <c r="E23">
        <v>139.6760000000003</v>
      </c>
      <c r="F23">
        <v>117.13099999999997</v>
      </c>
      <c r="G23">
        <v>30.044999999999973</v>
      </c>
      <c r="I23">
        <f t="shared" si="0"/>
        <v>-4.9290000000001299</v>
      </c>
      <c r="J23" s="2">
        <f t="shared" si="1"/>
        <v>-4.3929698222849298E-2</v>
      </c>
    </row>
    <row r="24" spans="1:10">
      <c r="A24">
        <v>5</v>
      </c>
      <c r="B24">
        <v>129.23100000000019</v>
      </c>
      <c r="C24">
        <v>19.781999999999975</v>
      </c>
      <c r="D24">
        <v>144.82900000000032</v>
      </c>
      <c r="E24">
        <v>153.4580000000002</v>
      </c>
      <c r="F24">
        <v>132.70600000000019</v>
      </c>
      <c r="G24">
        <v>26.765000000000004</v>
      </c>
      <c r="I24">
        <f t="shared" si="0"/>
        <v>-3.4749999999999943</v>
      </c>
      <c r="J24" s="2">
        <f t="shared" si="1"/>
        <v>-2.6889832934822055E-2</v>
      </c>
    </row>
    <row r="25" spans="1:10">
      <c r="A25">
        <v>5</v>
      </c>
      <c r="B25">
        <v>143.31800000000041</v>
      </c>
      <c r="C25">
        <v>18.451999999999966</v>
      </c>
      <c r="D25">
        <v>156.95700000000033</v>
      </c>
      <c r="E25">
        <v>162.00300000000004</v>
      </c>
      <c r="F25">
        <v>140.78800000000007</v>
      </c>
      <c r="G25">
        <v>28.459999999999997</v>
      </c>
      <c r="I25">
        <f t="shared" si="0"/>
        <v>2.5300000000003422</v>
      </c>
      <c r="J25" s="2">
        <f t="shared" si="1"/>
        <v>1.7653051256648396E-2</v>
      </c>
    </row>
    <row r="26" spans="1:10">
      <c r="A26">
        <v>6</v>
      </c>
      <c r="B26">
        <v>76.376999999999924</v>
      </c>
      <c r="C26">
        <v>32.840999999999987</v>
      </c>
      <c r="D26">
        <v>101.36199999999963</v>
      </c>
      <c r="E26">
        <v>98.455999999999634</v>
      </c>
      <c r="F26">
        <v>59.699000000000055</v>
      </c>
      <c r="G26">
        <v>51.265999999999991</v>
      </c>
      <c r="I26">
        <f t="shared" si="0"/>
        <v>16.677999999999869</v>
      </c>
      <c r="J26" s="2">
        <f t="shared" si="1"/>
        <v>0.21836416722311541</v>
      </c>
    </row>
    <row r="27" spans="1:10">
      <c r="A27">
        <v>6</v>
      </c>
      <c r="B27">
        <v>121.87400000000005</v>
      </c>
      <c r="C27">
        <v>27.949999999999935</v>
      </c>
      <c r="D27">
        <v>145.46600000000018</v>
      </c>
      <c r="E27">
        <v>147.77600000000024</v>
      </c>
      <c r="F27">
        <v>120.83300000000003</v>
      </c>
      <c r="G27">
        <v>29.622</v>
      </c>
      <c r="I27">
        <f t="shared" si="0"/>
        <v>1.0410000000000252</v>
      </c>
      <c r="J27" s="2">
        <f t="shared" si="1"/>
        <v>8.5416085465318675E-3</v>
      </c>
    </row>
    <row r="28" spans="1:10">
      <c r="A28">
        <v>6</v>
      </c>
      <c r="B28">
        <v>137.14500000000007</v>
      </c>
      <c r="C28">
        <v>25.981999999999996</v>
      </c>
      <c r="D28">
        <v>161.46900000000045</v>
      </c>
      <c r="E28">
        <v>163.55900000000003</v>
      </c>
      <c r="F28">
        <v>138.69600000000028</v>
      </c>
      <c r="G28">
        <v>27.368999999999996</v>
      </c>
      <c r="I28">
        <f t="shared" si="0"/>
        <v>-1.5510000000002151</v>
      </c>
      <c r="J28" s="2">
        <f t="shared" si="1"/>
        <v>-1.1309198293778223E-2</v>
      </c>
    </row>
    <row r="29" spans="1:10">
      <c r="A29">
        <v>6</v>
      </c>
      <c r="B29">
        <v>151.91800000000018</v>
      </c>
      <c r="C29">
        <v>16.862999999999975</v>
      </c>
      <c r="D29">
        <v>166.64200000000022</v>
      </c>
      <c r="E29">
        <v>172.80800000000039</v>
      </c>
      <c r="F29">
        <v>149.25100000000012</v>
      </c>
      <c r="G29">
        <v>25.933999999999955</v>
      </c>
      <c r="I29">
        <f t="shared" si="0"/>
        <v>2.6670000000000584</v>
      </c>
      <c r="J29" s="2">
        <f t="shared" si="1"/>
        <v>1.7555523374452372E-2</v>
      </c>
    </row>
    <row r="30" spans="1:10">
      <c r="A30">
        <v>7</v>
      </c>
      <c r="B30">
        <v>71.187999999999974</v>
      </c>
      <c r="C30">
        <v>47.182999999999986</v>
      </c>
      <c r="D30">
        <v>100.5139999999997</v>
      </c>
      <c r="E30">
        <v>97.398999999999646</v>
      </c>
      <c r="F30">
        <v>55.882999999999853</v>
      </c>
      <c r="G30">
        <v>65.604999999999976</v>
      </c>
      <c r="I30">
        <f t="shared" si="0"/>
        <v>15.305000000000121</v>
      </c>
      <c r="J30" s="2">
        <f t="shared" si="1"/>
        <v>0.21499410012923703</v>
      </c>
    </row>
    <row r="31" spans="1:10">
      <c r="A31">
        <v>7</v>
      </c>
      <c r="B31">
        <v>114.11799999999982</v>
      </c>
      <c r="C31">
        <v>39.181999999999938</v>
      </c>
      <c r="D31">
        <v>141.81200000000021</v>
      </c>
      <c r="E31">
        <v>137.58600000000038</v>
      </c>
      <c r="F31">
        <v>98.977999999999696</v>
      </c>
      <c r="G31">
        <v>54.437000000000033</v>
      </c>
      <c r="I31">
        <f t="shared" si="0"/>
        <v>15.140000000000128</v>
      </c>
      <c r="J31" s="2">
        <f t="shared" si="1"/>
        <v>0.13266969277414739</v>
      </c>
    </row>
    <row r="32" spans="1:10">
      <c r="A32">
        <v>7</v>
      </c>
      <c r="B32">
        <v>134.04000000000016</v>
      </c>
      <c r="C32">
        <v>23.847999999999971</v>
      </c>
      <c r="D32">
        <v>151.74300000000028</v>
      </c>
      <c r="E32">
        <v>151.98500000000018</v>
      </c>
      <c r="F32">
        <v>115.47599999999991</v>
      </c>
      <c r="G32">
        <v>51.432999999999979</v>
      </c>
      <c r="I32">
        <f t="shared" si="0"/>
        <v>18.564000000000249</v>
      </c>
      <c r="J32" s="2">
        <f t="shared" si="1"/>
        <v>0.13849597135183697</v>
      </c>
    </row>
    <row r="33" spans="1:10">
      <c r="A33">
        <v>7</v>
      </c>
      <c r="B33">
        <v>146.51200000000014</v>
      </c>
      <c r="C33">
        <v>24.144000000000009</v>
      </c>
      <c r="D33">
        <v>164.1220000000003</v>
      </c>
      <c r="E33">
        <v>163.34000000000057</v>
      </c>
      <c r="F33">
        <v>128.94200000000015</v>
      </c>
      <c r="G33">
        <v>48.204000000000072</v>
      </c>
      <c r="I33">
        <f t="shared" si="0"/>
        <v>17.569999999999993</v>
      </c>
      <c r="J33" s="2">
        <f t="shared" si="1"/>
        <v>0.11992191765862166</v>
      </c>
    </row>
    <row r="34" spans="1:10">
      <c r="A34">
        <v>8</v>
      </c>
      <c r="B34">
        <v>79.29599999999985</v>
      </c>
      <c r="C34">
        <v>31.962</v>
      </c>
      <c r="D34">
        <v>101.26699999999961</v>
      </c>
      <c r="E34">
        <v>99.026999999999688</v>
      </c>
      <c r="F34">
        <v>66.390999999999977</v>
      </c>
      <c r="G34">
        <v>44.345999999999997</v>
      </c>
      <c r="I34">
        <f t="shared" si="0"/>
        <v>12.904999999999873</v>
      </c>
      <c r="J34" s="2">
        <f t="shared" si="1"/>
        <v>0.16274465294592283</v>
      </c>
    </row>
    <row r="35" spans="1:10">
      <c r="A35">
        <v>8</v>
      </c>
      <c r="B35">
        <v>128.06999999999996</v>
      </c>
      <c r="C35">
        <v>24.838000000000008</v>
      </c>
      <c r="D35">
        <v>149.76200000000028</v>
      </c>
      <c r="E35">
        <v>151.94199999999998</v>
      </c>
      <c r="F35">
        <v>129.49500000000023</v>
      </c>
      <c r="G35">
        <v>25.060999999999982</v>
      </c>
      <c r="I35">
        <f t="shared" si="0"/>
        <v>-1.4250000000002672</v>
      </c>
      <c r="J35" s="2">
        <f t="shared" si="1"/>
        <v>-1.1126727570861776E-2</v>
      </c>
    </row>
    <row r="36" spans="1:10">
      <c r="A36">
        <v>8</v>
      </c>
      <c r="B36">
        <v>140.54000000000025</v>
      </c>
      <c r="C36">
        <v>22.831999999999972</v>
      </c>
      <c r="D36">
        <v>160.33500000000043</v>
      </c>
      <c r="E36">
        <v>168.03000000000029</v>
      </c>
      <c r="F36">
        <v>146.63300000000007</v>
      </c>
      <c r="G36">
        <v>23.503000000000007</v>
      </c>
      <c r="I36">
        <f t="shared" si="0"/>
        <v>-6.0929999999998188</v>
      </c>
      <c r="J36" s="2">
        <f t="shared" si="1"/>
        <v>-4.3354205208480205E-2</v>
      </c>
    </row>
    <row r="37" spans="1:10">
      <c r="A37">
        <v>8</v>
      </c>
      <c r="B37">
        <v>157.22500000000011</v>
      </c>
      <c r="C37">
        <v>15.985999999999963</v>
      </c>
      <c r="D37">
        <v>170.87600000000069</v>
      </c>
      <c r="E37">
        <v>175.7690000000004</v>
      </c>
      <c r="F37">
        <v>156.01800000000043</v>
      </c>
      <c r="G37">
        <v>22.040999999999986</v>
      </c>
      <c r="I37">
        <f t="shared" si="0"/>
        <v>1.206999999999681</v>
      </c>
      <c r="J37" s="2">
        <f t="shared" si="1"/>
        <v>7.6768961679101935E-3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1A25E-3E26-4645-946C-D50B05BC5238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4C1EBF-2E07-7F47-A773-9B43A63AD2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お互いにDP(middense_cc_infl_p2_egot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小川 薫</dc:creator>
  <cp:lastModifiedBy>小川 薫</cp:lastModifiedBy>
  <dcterms:created xsi:type="dcterms:W3CDTF">2025-12-02T06:02:12Z</dcterms:created>
  <dcterms:modified xsi:type="dcterms:W3CDTF">2025-12-03T06:51:14Z</dcterms:modified>
</cp:coreProperties>
</file>