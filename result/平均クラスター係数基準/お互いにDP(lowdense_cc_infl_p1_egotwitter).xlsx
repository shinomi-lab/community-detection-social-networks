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9E0FC139-4CC5-7840-83BA-55ACF06076C1}" xr6:coauthVersionLast="47" xr6:coauthVersionMax="47" xr10:uidLastSave="{00000000-0000-0000-0000-000000000000}"/>
  <bookViews>
    <workbookView xWindow="3840" yWindow="3000" windowWidth="27100" windowHeight="15860" xr2:uid="{FA9DE565-1047-BE49-84F8-6A9AA0558EB2}"/>
  </bookViews>
  <sheets>
    <sheet name="お互いにDP(lowdense_cc_infl_p1" sheetId="3" r:id="rId1"/>
    <sheet name="Sheet1" sheetId="1" r:id="rId2"/>
  </sheets>
  <definedNames>
    <definedName name="ExternalData_2" localSheetId="0" hidden="1">'お互いにDP(lowdense_cc_infl_p1'!$A$1:$G$37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2" i="3"/>
  <c r="M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I26" i="3"/>
  <c r="I27" i="3"/>
  <c r="I28" i="3"/>
  <c r="I29" i="3"/>
  <c r="I30" i="3"/>
  <c r="I31" i="3"/>
  <c r="I32" i="3"/>
  <c r="I33" i="3"/>
  <c r="I34" i="3"/>
  <c r="I35" i="3"/>
  <c r="I36" i="3"/>
  <c r="I3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" i="3"/>
  <c r="J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B1D5B-1091-1341-826A-507093A0E32F}" keepAlive="1" name="クエリ - お互いにDP(lowdense_cc_infl_p1_egotwitter)" description="ブック内の 'お互いにDP(lowdense_cc_infl_p1_egotwitter)' クエリへの接続です。" type="5" refreshedVersion="8" background="1" saveData="1">
    <dbPr connection="Provider=Microsoft.Mashup.OleDb.1;Data Source=$Workbook$;Location=お互いにDP(lowdense_cc_infl_p1_egotwitter);Extended Properties=&quot;&quot;" command="SELECT * FROM [お互いにDP(lowdense_cc_infl_p1_egotwitter)]"/>
  </connection>
  <connection id="2" xr16:uid="{E673C6B8-7D0F-B740-9AE2-3D912B0F233D}" keepAlive="1" name="クエリ - お互いにDP(lowdense_cc_infl_p1_egotwitter) (2)" description="ブック内の 'お互いにDP(lowdense_cc_infl_p1_egotwitter) (2)' クエリへの接続です。" type="5" refreshedVersion="8" background="1" saveData="1">
    <dbPr connection="Provider=Microsoft.Mashup.OleDb.1;Data Source=$Workbook$;Location=&quot;お互いにDP(lowdense_cc_infl_p1_egotwitter) (2)&quot;;Extended Properties=&quot;&quot;" command="SELECT * FROM [お互いにDP(lowdense_cc_infl_p1_egotwitter) (2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<sst xmlns="http://schemas.openxmlformats.org/spreadsheetml/2006/main" count="12" uniqueCount="12">
  <si>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</si>
  <si>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</si>
  <si>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</si>
  <si>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</si>
  <si>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</si>
  <si>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</si>
  <si>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</si>
  <si>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rPh sb="3" eb="6">
      <t>ユウイ</t>
    </rPh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</si>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</sst>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434FAAD-6041-5B46-8D6D-D091F5B91874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3C3472-A1BB-964D-A6CC-ED323B463D87}" name="お互いにDP_lowdense_cc_infl_p1_egotwitter___2" displayName="お互いにDP_lowdense_cc_infl_p1_egotwitter___2" ref="A1:G37" tableType="queryTable" totalsRowShown="0">
  <autoFilter ref="A1:G37" xr:uid="{463C3472-A1BB-964D-A6CC-ED323B463D87}"/>
  <tableColumns count="7">
    <tableColumn id="1" xr3:uid="{1A094861-9AC7-FA45-A279-C57DF8B458DB}" uniqueName="1" name="Seed" queryTableFieldId="1"/>
    <tableColumn id="2" xr3:uid="{41AA63E6-D129-5D48-A38C-A5ED1B48AF4A}" uniqueName="2" name="ありの解" queryTableFieldId="2"/>
    <tableColumn id="3" xr3:uid="{D431C9CA-0AA6-354E-B9CB-5797D0190562}" uniqueName="3" name="ありの解2" queryTableFieldId="3"/>
    <tableColumn id="4" xr3:uid="{03F0A443-1501-E443-A957-6BBC079ACB93}" uniqueName="4" name="ありをなし" queryTableFieldId="4"/>
    <tableColumn id="5" xr3:uid="{6344412C-56DC-2146-9EF8-C637E56AE52D}" uniqueName="5" name="なしの解" queryTableFieldId="5"/>
    <tableColumn id="6" xr3:uid="{2611E7C2-380B-3E4B-927F-D4C750F7A520}" uniqueName="6" name="なしの解をアリ" queryTableFieldId="6"/>
    <tableColumn id="7" xr3:uid="{B657E704-520B-9447-86DE-70B1E4FB1AB8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3DA1-D9A8-6342-BCD2-7E7B54C1D816}">
  <dimension ref="A1:M37"/>
  <sheetViews>
    <sheetView tabSelected="1" workbookViewId="0">
      <selection activeCell="L21" sqref="L21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6.9882576233978061E-2</v>
      </c>
    </row>
    <row r="2" spans="1:13">
      <c r="A2">
        <v>0</v>
      </c>
      <c r="B2">
        <v>77.02599999999984</v>
      </c>
      <c r="C2">
        <v>19.192999999999927</v>
      </c>
      <c r="D2">
        <v>87.462999999999795</v>
      </c>
      <c r="E2">
        <v>84.953999999999866</v>
      </c>
      <c r="F2">
        <v>73.803999999999888</v>
      </c>
      <c r="G2">
        <v>19.800999999999934</v>
      </c>
      <c r="I2">
        <f>B2-F2</f>
        <v>3.2219999999999516</v>
      </c>
      <c r="J2" s="1">
        <f>I2/B2</f>
        <v>4.1830031417962224E-2</v>
      </c>
      <c r="L2" t="s">
        <v>10</v>
      </c>
      <c r="M2" s="2">
        <f>AVERAGE(J2:J37)</f>
        <v>5.4277034647426982E-3</v>
      </c>
    </row>
    <row r="3" spans="1:13">
      <c r="A3">
        <v>0</v>
      </c>
      <c r="B3">
        <v>107.17199999999939</v>
      </c>
      <c r="C3">
        <v>13.636999999999935</v>
      </c>
      <c r="D3">
        <v>116.81099999999968</v>
      </c>
      <c r="E3">
        <v>118.14899999999969</v>
      </c>
      <c r="F3">
        <v>107.31299999999976</v>
      </c>
      <c r="G3">
        <v>15.20199999999995</v>
      </c>
      <c r="I3">
        <f t="shared" ref="I3:I37" si="0">B3-F3</f>
        <v>-0.14100000000037483</v>
      </c>
      <c r="J3" s="1">
        <f t="shared" ref="J3:J37" si="1">I3/B3</f>
        <v>-1.3156421453399735E-3</v>
      </c>
      <c r="L3" t="s">
        <v>11</v>
      </c>
      <c r="M3" s="1">
        <f>COUNTIF(I2:I37,0)/COUNT(I2:I37)</f>
        <v>0</v>
      </c>
    </row>
    <row r="4" spans="1:13">
      <c r="A4">
        <v>0</v>
      </c>
      <c r="B4">
        <v>127.00900000000017</v>
      </c>
      <c r="C4">
        <v>9.0089999999999524</v>
      </c>
      <c r="D4">
        <v>134.10900000000024</v>
      </c>
      <c r="E4">
        <v>136.07500000000019</v>
      </c>
      <c r="F4">
        <v>126.86299999999991</v>
      </c>
      <c r="G4">
        <v>11.422999999999947</v>
      </c>
      <c r="I4">
        <f t="shared" si="0"/>
        <v>0.14600000000025659</v>
      </c>
      <c r="J4" s="1">
        <f t="shared" si="1"/>
        <v>1.149524836824606E-3</v>
      </c>
    </row>
    <row r="5" spans="1:13">
      <c r="A5">
        <v>0</v>
      </c>
      <c r="B5">
        <v>138.90500000000014</v>
      </c>
      <c r="C5">
        <v>6.0789999999999527</v>
      </c>
      <c r="D5">
        <v>144.11100000000022</v>
      </c>
      <c r="E5">
        <v>146.3010000000003</v>
      </c>
      <c r="F5">
        <v>139.65200000000061</v>
      </c>
      <c r="G5">
        <v>7.7479999999999549</v>
      </c>
      <c r="I5">
        <f t="shared" si="0"/>
        <v>-0.74700000000046884</v>
      </c>
      <c r="J5" s="1">
        <f t="shared" si="1"/>
        <v>-5.3777761779667263E-3</v>
      </c>
    </row>
    <row r="6" spans="1:13">
      <c r="A6">
        <v>1</v>
      </c>
      <c r="B6">
        <v>87.460999999999956</v>
      </c>
      <c r="C6">
        <v>16.032999999999955</v>
      </c>
      <c r="D6">
        <v>95.118999999999673</v>
      </c>
      <c r="E6">
        <v>90.958999999999818</v>
      </c>
      <c r="F6">
        <v>81.349000000000004</v>
      </c>
      <c r="G6">
        <v>17.365999999999957</v>
      </c>
      <c r="I6">
        <f t="shared" si="0"/>
        <v>6.1119999999999521</v>
      </c>
      <c r="J6" s="1">
        <f t="shared" si="1"/>
        <v>6.9882576233978061E-2</v>
      </c>
    </row>
    <row r="7" spans="1:13">
      <c r="A7">
        <v>1</v>
      </c>
      <c r="B7">
        <v>122.61999999999996</v>
      </c>
      <c r="C7">
        <v>9.4129999999999647</v>
      </c>
      <c r="D7">
        <v>129.52900000000022</v>
      </c>
      <c r="E7">
        <v>128.172</v>
      </c>
      <c r="F7">
        <v>119.65199999999984</v>
      </c>
      <c r="G7">
        <v>11.801999999999934</v>
      </c>
      <c r="I7">
        <f t="shared" si="0"/>
        <v>2.9680000000001172</v>
      </c>
      <c r="J7" s="1">
        <f t="shared" si="1"/>
        <v>2.4204860544773433E-2</v>
      </c>
    </row>
    <row r="8" spans="1:13">
      <c r="A8">
        <v>1</v>
      </c>
      <c r="B8">
        <v>140.67900000000006</v>
      </c>
      <c r="C8">
        <v>6.5709999999999571</v>
      </c>
      <c r="D8">
        <v>146.24200000000044</v>
      </c>
      <c r="E8">
        <v>145.84200000000027</v>
      </c>
      <c r="F8">
        <v>138.90000000000015</v>
      </c>
      <c r="G8">
        <v>8.2439999999999518</v>
      </c>
      <c r="I8">
        <f t="shared" si="0"/>
        <v>1.7789999999999111</v>
      </c>
      <c r="J8" s="1">
        <f t="shared" si="1"/>
        <v>1.2645810675366688E-2</v>
      </c>
    </row>
    <row r="9" spans="1:13">
      <c r="A9">
        <v>1</v>
      </c>
      <c r="B9">
        <v>150.15700000000041</v>
      </c>
      <c r="C9">
        <v>3.9089999999999678</v>
      </c>
      <c r="D9">
        <v>153.64800000000031</v>
      </c>
      <c r="E9">
        <v>154.04000000000016</v>
      </c>
      <c r="F9">
        <v>150.01200000000054</v>
      </c>
      <c r="G9">
        <v>4.4199999999999662</v>
      </c>
      <c r="I9">
        <f t="shared" si="0"/>
        <v>0.14499999999986812</v>
      </c>
      <c r="J9" s="1">
        <f t="shared" si="1"/>
        <v>9.6565594677482721E-4</v>
      </c>
    </row>
    <row r="10" spans="1:13">
      <c r="A10">
        <v>2</v>
      </c>
      <c r="B10">
        <v>84.837999999999852</v>
      </c>
      <c r="C10">
        <v>9.734999999999939</v>
      </c>
      <c r="D10">
        <v>90.05199999999958</v>
      </c>
      <c r="E10">
        <v>91.016999999999754</v>
      </c>
      <c r="F10">
        <v>85.373999999999867</v>
      </c>
      <c r="G10">
        <v>10.51199999999996</v>
      </c>
      <c r="I10">
        <f t="shared" si="0"/>
        <v>-0.53600000000001558</v>
      </c>
      <c r="J10" s="1">
        <f t="shared" si="1"/>
        <v>-6.3179235719844472E-3</v>
      </c>
    </row>
    <row r="11" spans="1:13">
      <c r="A11">
        <v>2</v>
      </c>
      <c r="B11">
        <v>119.70499999999993</v>
      </c>
      <c r="C11">
        <v>6.4689999999999559</v>
      </c>
      <c r="D11">
        <v>124.33399999999993</v>
      </c>
      <c r="E11">
        <v>125.32299999999989</v>
      </c>
      <c r="F11">
        <v>120.06999999999982</v>
      </c>
      <c r="G11">
        <v>7.2179999999999511</v>
      </c>
      <c r="I11">
        <f t="shared" si="0"/>
        <v>-0.36499999999989541</v>
      </c>
      <c r="J11" s="1">
        <f t="shared" si="1"/>
        <v>-3.0491625245386211E-3</v>
      </c>
    </row>
    <row r="12" spans="1:13">
      <c r="A12">
        <v>2</v>
      </c>
      <c r="B12">
        <v>136.71400000000025</v>
      </c>
      <c r="C12">
        <v>4.8529999999999509</v>
      </c>
      <c r="D12">
        <v>140.6430000000002</v>
      </c>
      <c r="E12">
        <v>141.86800000000036</v>
      </c>
      <c r="F12">
        <v>137.29100000000028</v>
      </c>
      <c r="G12">
        <v>5.3569999999999567</v>
      </c>
      <c r="I12">
        <f t="shared" si="0"/>
        <v>-0.5770000000000266</v>
      </c>
      <c r="J12" s="1">
        <f t="shared" si="1"/>
        <v>-4.2204894890064334E-3</v>
      </c>
    </row>
    <row r="13" spans="1:13">
      <c r="A13">
        <v>2</v>
      </c>
      <c r="B13">
        <v>147.42400000000026</v>
      </c>
      <c r="C13">
        <v>3.4219999999999606</v>
      </c>
      <c r="D13">
        <v>150.2740000000004</v>
      </c>
      <c r="E13">
        <v>150.87300000000033</v>
      </c>
      <c r="F13">
        <v>147.55000000000044</v>
      </c>
      <c r="G13">
        <v>3.8469999999999627</v>
      </c>
      <c r="I13">
        <f t="shared" si="0"/>
        <v>-0.12600000000017531</v>
      </c>
      <c r="J13" s="1">
        <f t="shared" si="1"/>
        <v>-8.5467766442489062E-4</v>
      </c>
    </row>
    <row r="14" spans="1:13">
      <c r="A14">
        <v>3</v>
      </c>
      <c r="B14">
        <v>85.34099999999988</v>
      </c>
      <c r="C14">
        <v>4.7859999999999543</v>
      </c>
      <c r="D14">
        <v>89.92899999999959</v>
      </c>
      <c r="E14">
        <v>89.841999999999629</v>
      </c>
      <c r="F14">
        <v>84.380999999999872</v>
      </c>
      <c r="G14">
        <v>4.6369999999999525</v>
      </c>
      <c r="I14">
        <f t="shared" si="0"/>
        <v>0.96000000000000796</v>
      </c>
      <c r="J14" s="1">
        <f t="shared" si="1"/>
        <v>1.124898934861332E-2</v>
      </c>
    </row>
    <row r="15" spans="1:13">
      <c r="A15">
        <v>3</v>
      </c>
      <c r="B15">
        <v>118.59299999999979</v>
      </c>
      <c r="C15">
        <v>3.2109999999999506</v>
      </c>
      <c r="D15">
        <v>123.11099999999999</v>
      </c>
      <c r="E15">
        <v>121.68299999999984</v>
      </c>
      <c r="F15">
        <v>116.89199999999983</v>
      </c>
      <c r="G15">
        <v>3.4479999999999564</v>
      </c>
      <c r="I15">
        <f t="shared" si="0"/>
        <v>1.700999999999965</v>
      </c>
      <c r="J15" s="1">
        <f t="shared" si="1"/>
        <v>1.4343173711770239E-2</v>
      </c>
    </row>
    <row r="16" spans="1:13">
      <c r="A16">
        <v>3</v>
      </c>
      <c r="B16">
        <v>135.76100000000028</v>
      </c>
      <c r="C16">
        <v>2.6689999999999574</v>
      </c>
      <c r="D16">
        <v>139.13800000000015</v>
      </c>
      <c r="E16">
        <v>138.66800000000029</v>
      </c>
      <c r="F16">
        <v>135.57000000000022</v>
      </c>
      <c r="G16">
        <v>2.5819999999999639</v>
      </c>
      <c r="I16">
        <f t="shared" si="0"/>
        <v>0.19100000000005934</v>
      </c>
      <c r="J16" s="1">
        <f t="shared" si="1"/>
        <v>1.4068841567170171E-3</v>
      </c>
    </row>
    <row r="17" spans="1:10">
      <c r="A17">
        <v>3</v>
      </c>
      <c r="B17">
        <v>146.21600000000043</v>
      </c>
      <c r="C17">
        <v>1.8959999999999704</v>
      </c>
      <c r="D17">
        <v>148.47200000000046</v>
      </c>
      <c r="E17">
        <v>148.34400000000031</v>
      </c>
      <c r="F17">
        <v>145.94500000000022</v>
      </c>
      <c r="G17">
        <v>2.1279999999999624</v>
      </c>
      <c r="I17">
        <f t="shared" si="0"/>
        <v>0.27100000000021396</v>
      </c>
      <c r="J17" s="1">
        <f t="shared" si="1"/>
        <v>1.8534223340825433E-3</v>
      </c>
    </row>
    <row r="18" spans="1:10">
      <c r="A18">
        <v>4</v>
      </c>
      <c r="B18">
        <v>90.701999999999714</v>
      </c>
      <c r="C18">
        <v>6.2989999999999498</v>
      </c>
      <c r="D18">
        <v>94.152999999999508</v>
      </c>
      <c r="E18">
        <v>93.742999999999626</v>
      </c>
      <c r="F18">
        <v>90.32499999999979</v>
      </c>
      <c r="G18">
        <v>5.9669999999999561</v>
      </c>
      <c r="I18">
        <f t="shared" si="0"/>
        <v>0.37699999999992428</v>
      </c>
      <c r="J18" s="1">
        <f t="shared" si="1"/>
        <v>4.1564684350943251E-3</v>
      </c>
    </row>
    <row r="19" spans="1:10">
      <c r="A19">
        <v>4</v>
      </c>
      <c r="B19">
        <v>130.67400000000021</v>
      </c>
      <c r="C19">
        <v>3.3889999999999612</v>
      </c>
      <c r="D19">
        <v>133.39200000000025</v>
      </c>
      <c r="E19">
        <v>132.85900000000029</v>
      </c>
      <c r="F19">
        <v>130.13400000000036</v>
      </c>
      <c r="G19">
        <v>3.7239999999999576</v>
      </c>
      <c r="I19">
        <f t="shared" si="0"/>
        <v>0.53999999999984993</v>
      </c>
      <c r="J19" s="1">
        <f t="shared" si="1"/>
        <v>4.1324211396287641E-3</v>
      </c>
    </row>
    <row r="20" spans="1:10">
      <c r="A20">
        <v>4</v>
      </c>
      <c r="B20">
        <v>146.74200000000027</v>
      </c>
      <c r="C20">
        <v>2.2799999999999652</v>
      </c>
      <c r="D20">
        <v>148.5930000000003</v>
      </c>
      <c r="E20">
        <v>148.69400000000022</v>
      </c>
      <c r="F20">
        <v>146.40200000000047</v>
      </c>
      <c r="G20">
        <v>2.738999999999955</v>
      </c>
      <c r="I20">
        <f t="shared" si="0"/>
        <v>0.33999999999980446</v>
      </c>
      <c r="J20" s="1">
        <f t="shared" si="1"/>
        <v>2.3169917269752617E-3</v>
      </c>
    </row>
    <row r="21" spans="1:10">
      <c r="A21">
        <v>4</v>
      </c>
      <c r="B21">
        <v>153.86700000000008</v>
      </c>
      <c r="C21">
        <v>1.4609999999999772</v>
      </c>
      <c r="D21">
        <v>155.21300000000048</v>
      </c>
      <c r="E21">
        <v>155.46700000000041</v>
      </c>
      <c r="F21">
        <v>153.98800000000028</v>
      </c>
      <c r="G21">
        <v>1.4869999999999755</v>
      </c>
      <c r="I21">
        <f t="shared" si="0"/>
        <v>-0.12100000000020827</v>
      </c>
      <c r="J21" s="1">
        <f t="shared" si="1"/>
        <v>-7.8639344368973342E-4</v>
      </c>
    </row>
    <row r="22" spans="1:10">
      <c r="A22">
        <v>5</v>
      </c>
      <c r="B22">
        <v>85.142999999999816</v>
      </c>
      <c r="C22">
        <v>5.0409999999999533</v>
      </c>
      <c r="D22">
        <v>88.267999999999702</v>
      </c>
      <c r="E22">
        <v>88.752999999999915</v>
      </c>
      <c r="F22">
        <v>85.611999999999753</v>
      </c>
      <c r="G22">
        <v>5.3619999999999557</v>
      </c>
      <c r="I22">
        <f t="shared" si="0"/>
        <v>-0.46899999999993724</v>
      </c>
      <c r="J22" s="1">
        <f t="shared" si="1"/>
        <v>-5.508380019495886E-3</v>
      </c>
    </row>
    <row r="23" spans="1:10">
      <c r="A23">
        <v>5</v>
      </c>
      <c r="B23">
        <v>119.66999999999977</v>
      </c>
      <c r="C23">
        <v>3.4049999999999505</v>
      </c>
      <c r="D23">
        <v>122.25500000000001</v>
      </c>
      <c r="E23">
        <v>123.71200000000009</v>
      </c>
      <c r="F23">
        <v>121.20899999999988</v>
      </c>
      <c r="G23">
        <v>3.3279999999999519</v>
      </c>
      <c r="I23">
        <f t="shared" si="0"/>
        <v>-1.539000000000101</v>
      </c>
      <c r="J23" s="1">
        <f t="shared" si="1"/>
        <v>-1.2860366006518792E-2</v>
      </c>
    </row>
    <row r="24" spans="1:10">
      <c r="A24">
        <v>5</v>
      </c>
      <c r="B24">
        <v>138.44200000000001</v>
      </c>
      <c r="C24">
        <v>2.6649999999999539</v>
      </c>
      <c r="D24">
        <v>140.86400000000006</v>
      </c>
      <c r="E24">
        <v>141.33700000000024</v>
      </c>
      <c r="F24">
        <v>138.76400000000032</v>
      </c>
      <c r="G24">
        <v>2.7149999999999586</v>
      </c>
      <c r="I24">
        <f t="shared" si="0"/>
        <v>-0.32200000000031537</v>
      </c>
      <c r="J24" s="1">
        <f t="shared" si="1"/>
        <v>-2.3258837636000299E-3</v>
      </c>
    </row>
    <row r="25" spans="1:10">
      <c r="A25">
        <v>5</v>
      </c>
      <c r="B25">
        <v>148.57000000000033</v>
      </c>
      <c r="C25">
        <v>2.094999999999966</v>
      </c>
      <c r="D25">
        <v>150.38000000000039</v>
      </c>
      <c r="E25">
        <v>151.23200000000023</v>
      </c>
      <c r="F25">
        <v>149.34800000000016</v>
      </c>
      <c r="G25">
        <v>2.0819999999999679</v>
      </c>
      <c r="I25">
        <f t="shared" si="0"/>
        <v>-0.77799999999982106</v>
      </c>
      <c r="J25" s="1">
        <f t="shared" si="1"/>
        <v>-5.2365888133527588E-3</v>
      </c>
    </row>
    <row r="26" spans="1:10">
      <c r="A26">
        <v>6</v>
      </c>
      <c r="B26">
        <v>90.643999999999807</v>
      </c>
      <c r="C26">
        <v>6.2189999999999603</v>
      </c>
      <c r="D26">
        <v>94.085999999999629</v>
      </c>
      <c r="E26">
        <v>93.730999999999753</v>
      </c>
      <c r="F26">
        <v>89.926999999999765</v>
      </c>
      <c r="G26">
        <v>6.3519999999999488</v>
      </c>
      <c r="I26">
        <f>B26-F26</f>
        <v>0.71700000000004138</v>
      </c>
      <c r="J26" s="1">
        <f t="shared" si="1"/>
        <v>7.9100657517325243E-3</v>
      </c>
    </row>
    <row r="27" spans="1:10">
      <c r="A27">
        <v>6</v>
      </c>
      <c r="B27">
        <v>127.19500000000005</v>
      </c>
      <c r="C27">
        <v>3.8379999999999566</v>
      </c>
      <c r="D27">
        <v>130.114</v>
      </c>
      <c r="E27">
        <v>129.13300000000015</v>
      </c>
      <c r="F27">
        <v>126.35499999999998</v>
      </c>
      <c r="G27">
        <v>3.8789999999999552</v>
      </c>
      <c r="I27">
        <f t="shared" si="0"/>
        <v>0.84000000000007446</v>
      </c>
      <c r="J27" s="1">
        <f t="shared" si="1"/>
        <v>6.6040331774053548E-3</v>
      </c>
    </row>
    <row r="28" spans="1:10">
      <c r="A28">
        <v>6</v>
      </c>
      <c r="B28">
        <v>144.28600000000031</v>
      </c>
      <c r="C28">
        <v>2.7519999999999629</v>
      </c>
      <c r="D28">
        <v>146.72300000000035</v>
      </c>
      <c r="E28">
        <v>146.56800000000018</v>
      </c>
      <c r="F28">
        <v>143.9620000000003</v>
      </c>
      <c r="G28">
        <v>2.8959999999999635</v>
      </c>
      <c r="I28">
        <f t="shared" si="0"/>
        <v>0.32400000000001228</v>
      </c>
      <c r="J28" s="1">
        <f t="shared" si="1"/>
        <v>2.2455401078414509E-3</v>
      </c>
    </row>
    <row r="29" spans="1:10">
      <c r="A29">
        <v>6</v>
      </c>
      <c r="B29">
        <v>152.65700000000038</v>
      </c>
      <c r="C29">
        <v>1.7179999999999731</v>
      </c>
      <c r="D29">
        <v>154.20900000000032</v>
      </c>
      <c r="E29">
        <v>154.71000000000038</v>
      </c>
      <c r="F29">
        <v>152.94700000000046</v>
      </c>
      <c r="G29">
        <v>1.8619999999999728</v>
      </c>
      <c r="I29">
        <f t="shared" si="0"/>
        <v>-0.29000000000007731</v>
      </c>
      <c r="J29" s="1">
        <f t="shared" si="1"/>
        <v>-1.8996836044208689E-3</v>
      </c>
    </row>
    <row r="30" spans="1:10">
      <c r="A30">
        <v>7</v>
      </c>
      <c r="B30">
        <v>86.296999999999755</v>
      </c>
      <c r="C30">
        <v>16.881999999999962</v>
      </c>
      <c r="D30">
        <v>93.840999999999724</v>
      </c>
      <c r="E30">
        <v>91.329999999999771</v>
      </c>
      <c r="F30">
        <v>82.897999999999982</v>
      </c>
      <c r="G30">
        <v>17.982999999999958</v>
      </c>
      <c r="I30">
        <f t="shared" si="0"/>
        <v>3.3989999999997735</v>
      </c>
      <c r="J30" s="1">
        <f t="shared" si="1"/>
        <v>3.9387232464625457E-2</v>
      </c>
    </row>
    <row r="31" spans="1:10">
      <c r="A31">
        <v>7</v>
      </c>
      <c r="B31">
        <v>120.07199999999969</v>
      </c>
      <c r="C31">
        <v>10.474999999999941</v>
      </c>
      <c r="D31">
        <v>126.84199999999997</v>
      </c>
      <c r="E31">
        <v>125.65700000000011</v>
      </c>
      <c r="F31">
        <v>118.14399999999978</v>
      </c>
      <c r="G31">
        <v>11.557999999999941</v>
      </c>
      <c r="I31">
        <f t="shared" si="0"/>
        <v>1.927999999999912</v>
      </c>
      <c r="J31" s="1">
        <f t="shared" si="1"/>
        <v>1.6057032447197656E-2</v>
      </c>
    </row>
    <row r="32" spans="1:10">
      <c r="A32">
        <v>7</v>
      </c>
      <c r="B32">
        <v>138.02300000000042</v>
      </c>
      <c r="C32">
        <v>6.9829999999999597</v>
      </c>
      <c r="D32">
        <v>143.14900000000037</v>
      </c>
      <c r="E32">
        <v>144.49900000000034</v>
      </c>
      <c r="F32">
        <v>139.19800000000035</v>
      </c>
      <c r="G32">
        <v>6.7239999999999611</v>
      </c>
      <c r="I32">
        <f t="shared" si="0"/>
        <v>-1.1749999999999261</v>
      </c>
      <c r="J32" s="1">
        <f t="shared" si="1"/>
        <v>-8.5130739079712983E-3</v>
      </c>
    </row>
    <row r="33" spans="1:10">
      <c r="A33">
        <v>7</v>
      </c>
      <c r="B33">
        <v>148.01700000000028</v>
      </c>
      <c r="C33">
        <v>4.1119999999999672</v>
      </c>
      <c r="D33">
        <v>151.41900000000027</v>
      </c>
      <c r="E33">
        <v>153.02400000000029</v>
      </c>
      <c r="F33">
        <v>148.51700000000037</v>
      </c>
      <c r="G33">
        <v>5.0849999999999538</v>
      </c>
      <c r="I33">
        <f t="shared" si="0"/>
        <v>-0.50000000000008527</v>
      </c>
      <c r="J33" s="1">
        <f t="shared" si="1"/>
        <v>-3.3779903659720461E-3</v>
      </c>
    </row>
    <row r="34" spans="1:10">
      <c r="A34">
        <v>8</v>
      </c>
      <c r="B34">
        <v>91.491999999999749</v>
      </c>
      <c r="C34">
        <v>5.6999999999999567</v>
      </c>
      <c r="D34">
        <v>94.938999999999709</v>
      </c>
      <c r="E34">
        <v>95.188999999999595</v>
      </c>
      <c r="F34">
        <v>91.375999999999607</v>
      </c>
      <c r="G34">
        <v>5.6749999999999483</v>
      </c>
      <c r="I34">
        <f t="shared" si="0"/>
        <v>0.11600000000014177</v>
      </c>
      <c r="J34" s="1">
        <f t="shared" si="1"/>
        <v>1.2678704149012164E-3</v>
      </c>
    </row>
    <row r="35" spans="1:10">
      <c r="A35">
        <v>8</v>
      </c>
      <c r="B35">
        <v>126.73099999999987</v>
      </c>
      <c r="C35">
        <v>3.8629999999999605</v>
      </c>
      <c r="D35">
        <v>129.75000000000028</v>
      </c>
      <c r="E35">
        <v>130.23100000000025</v>
      </c>
      <c r="F35">
        <v>126.919</v>
      </c>
      <c r="G35">
        <v>4.1429999999999643</v>
      </c>
      <c r="I35">
        <f t="shared" si="0"/>
        <v>-0.18800000000013029</v>
      </c>
      <c r="J35" s="1">
        <f t="shared" si="1"/>
        <v>-1.4834570862703718E-3</v>
      </c>
    </row>
    <row r="36" spans="1:10">
      <c r="A36">
        <v>8</v>
      </c>
      <c r="B36">
        <v>144.30600000000021</v>
      </c>
      <c r="C36">
        <v>2.5869999999999616</v>
      </c>
      <c r="D36">
        <v>146.75100000000037</v>
      </c>
      <c r="E36">
        <v>146.63000000000034</v>
      </c>
      <c r="F36">
        <v>144.36100000000025</v>
      </c>
      <c r="G36">
        <v>2.5429999999999668</v>
      </c>
      <c r="I36">
        <f t="shared" si="0"/>
        <v>-5.5000000000035243E-2</v>
      </c>
      <c r="J36" s="1">
        <f t="shared" si="1"/>
        <v>-3.811345335608718E-4</v>
      </c>
    </row>
    <row r="37" spans="1:10">
      <c r="A37">
        <v>8</v>
      </c>
      <c r="B37">
        <v>152.25500000000042</v>
      </c>
      <c r="C37">
        <v>1.749999999999974</v>
      </c>
      <c r="D37">
        <v>153.81800000000013</v>
      </c>
      <c r="E37">
        <v>154.53500000000028</v>
      </c>
      <c r="F37">
        <v>152.97100000000034</v>
      </c>
      <c r="G37">
        <v>1.6229999999999736</v>
      </c>
      <c r="I37">
        <f t="shared" si="0"/>
        <v>-0.71599999999992292</v>
      </c>
      <c r="J37" s="1">
        <f t="shared" si="1"/>
        <v>-4.7026370234141473E-3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5214-E64D-1948-A41F-E27B5D68F560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737135-2D28-344E-A432-E127FA7C7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お互いにDP(lowdense_cc_infl_p1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2025-12-02T06:10:44Z</dcterms:created>
  <dcterms:modified xsi:type="dcterms:W3CDTF">2025-12-03T14:56:50Z</dcterms:modified>
</cp:coreProperties>
</file>