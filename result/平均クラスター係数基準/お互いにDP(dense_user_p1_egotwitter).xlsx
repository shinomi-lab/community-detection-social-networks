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oriogawa/研究/community-detection-social-networks/result/平均クラスター係数基準/"/>
    </mc:Choice>
  </mc:AlternateContent>
  <xr:revisionPtr revIDLastSave="0" documentId="13_ncr:1_{92F70EAC-80D3-1F4F-B34D-874C4C9494C0}" xr6:coauthVersionLast="47" xr6:coauthVersionMax="47" xr10:uidLastSave="{00000000-0000-0000-0000-000000000000}"/>
  <bookViews>
    <workbookView xWindow="2640" yWindow="1500" windowWidth="28300" windowHeight="17360" xr2:uid="{59E77398-051B-D84A-9903-34165ADAF745}"/>
  </bookViews>
  <sheets>
    <sheet name="お互いにDP(dense_user_p1_egotwitter" sheetId="2" r:id="rId1"/>
    <sheet name="Sheet1" sheetId="1" r:id="rId2"/>
  </sheets>
  <definedNames>
    <definedName name="ExternalData_1" localSheetId="0" hidden="1">'お互いにDP(dense_user_p1_egotwitter'!$A$1:$G$37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2" l="1"/>
  <c r="M2" i="2"/>
  <c r="M1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45C872E-3749-1B43-9A10-C0E089C4D156}" keepAlive="1" name="クエリ - お互いにDP(dense_user_p1_egotwitter)3" description="ブック内の 'お互いにDP(dense_user_p1_egotwitter)3' クエリへの接続です。" type="5" refreshedVersion="8" background="1" saveData="1">
    <dbPr connection="Provider=Microsoft.Mashup.OleDb.1;Data Source=$Workbook$;Location=お互いにDP(dense_user_p1_egotwitter)3;Extended Properties=&quot;&quot;" command="SELECT * FROM [お互いにDP(dense_user_p1_egotwitter)3]"/>
  </connection>
</connections>
</file>

<file path=xl/sharedStrings.xml><?xml version="1.0" encoding="utf-8"?>
<sst xmlns="http://schemas.openxmlformats.org/spreadsheetml/2006/main" count="12" uniqueCount="12">
  <si>
    <t>Seed</t>
  </si>
  <si>
    <t>ありの解</t>
  </si>
  <si>
    <t>ありの解2</t>
  </si>
  <si>
    <t>ありをなし</t>
  </si>
  <si>
    <t>なしの解</t>
  </si>
  <si>
    <t>なしの解をアリ</t>
  </si>
  <si>
    <t>なしの解をアリ2</t>
  </si>
  <si>
    <t>ありの優位性</t>
    <rPh sb="3" eb="6">
      <t>ユウイ</t>
    </rPh>
    <phoneticPr fontId="1"/>
  </si>
  <si>
    <t>割合</t>
    <rPh sb="0" eb="2">
      <t>ワリアイ</t>
    </rPh>
    <phoneticPr fontId="1"/>
  </si>
  <si>
    <t>最大</t>
    <rPh sb="0" eb="2">
      <t>サイダイ</t>
    </rPh>
    <phoneticPr fontId="1"/>
  </si>
  <si>
    <t>平均</t>
    <rPh sb="0" eb="2">
      <t>ヘイキn</t>
    </rPh>
    <phoneticPr fontId="1"/>
  </si>
  <si>
    <t>一致率</t>
    <rPh sb="0" eb="3">
      <t>イッティ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</si>
</sst>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%"/>
    <numFmt numFmtId="177" formatCode="0.0000%"/>
  </numFmts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6" fontId="0" fillId="0" borderId="0" xfId="1" applyNumberFormat="1" applyFont="1">
      <alignment vertical="center"/>
    </xf>
    <xf numFmtId="177" fontId="0" fillId="0" borderId="0" xfId="1" applyNumberFormat="1" applyFont="1">
      <alignment vertical="center"/>
    </xf>
  </cellXfs>
  <cellStyles count="2">
    <cellStyle name="パーセント" xfId="1" builtinId="5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2F53970-1301-E24E-958A-F1A3CDBBD7AF}" autoFormatId="20" applyNumberFormats="0" applyBorderFormats="0" applyFontFormats="0" applyPatternFormats="0" applyAlignmentFormats="0" applyWidthHeightFormats="0">
  <queryTableRefresh nextId="8">
    <queryTableFields count="7">
      <queryTableField id="1" name="Seed" tableColumnId="1"/>
      <queryTableField id="2" name="ありの解" tableColumnId="2"/>
      <queryTableField id="3" name="ありの解2" tableColumnId="3"/>
      <queryTableField id="4" name="ありをなし" tableColumnId="4"/>
      <queryTableField id="5" name="なしの解" tableColumnId="5"/>
      <queryTableField id="6" name="なしの解をアリ" tableColumnId="6"/>
      <queryTableField id="7" name="なしの解をアリ2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53450D-06E0-BF46-B5E0-BBAA58C71E74}" name="お互いにDP_dense_user_p1_egotwitter_3" displayName="お互いにDP_dense_user_p1_egotwitter_3" ref="A1:G37" tableType="queryTable" totalsRowShown="0">
  <autoFilter ref="A1:G37" xr:uid="{FF53450D-06E0-BF46-B5E0-BBAA58C71E74}"/>
  <tableColumns count="7">
    <tableColumn id="1" xr3:uid="{51083716-5010-0D4D-8417-5D54C9F01E26}" uniqueName="1" name="Seed" queryTableFieldId="1"/>
    <tableColumn id="2" xr3:uid="{D7AAC98A-0A25-8447-A262-4973F7451265}" uniqueName="2" name="ありの解" queryTableFieldId="2"/>
    <tableColumn id="3" xr3:uid="{09CAF0F2-2587-FD45-B4CD-B8641306F91A}" uniqueName="3" name="ありの解2" queryTableFieldId="3"/>
    <tableColumn id="4" xr3:uid="{1461167C-5C13-6E43-80B6-D7B239A41301}" uniqueName="4" name="ありをなし" queryTableFieldId="4"/>
    <tableColumn id="5" xr3:uid="{485CC013-4A6B-634B-A89E-1011C7DDFB76}" uniqueName="5" name="なしの解" queryTableFieldId="5"/>
    <tableColumn id="6" xr3:uid="{753B3871-1B88-5D40-9ADC-9C469C12D60D}" uniqueName="6" name="なしの解をアリ" queryTableFieldId="6"/>
    <tableColumn id="7" xr3:uid="{26DE2514-14B9-2442-AB44-EE5D8B202FE9}" uniqueName="7" name="なしの解をアリ2" queryTableFieldId="7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08156-FFE6-F34C-BE75-381F02973F88}">
  <dimension ref="A1:M37"/>
  <sheetViews>
    <sheetView tabSelected="1" zoomScale="75" workbookViewId="0">
      <selection activeCell="M3" sqref="M3"/>
    </sheetView>
  </sheetViews>
  <sheetFormatPr baseColWidth="10" defaultRowHeight="20"/>
  <cols>
    <col min="1" max="1" width="8" bestFit="1" customWidth="1"/>
    <col min="3" max="3" width="11.7109375" bestFit="1" customWidth="1"/>
    <col min="4" max="4" width="12.42578125" bestFit="1" customWidth="1"/>
    <col min="6" max="6" width="16" bestFit="1" customWidth="1"/>
    <col min="7" max="7" width="17.140625" bestFit="1" customWidth="1"/>
    <col min="9" max="9" width="11.4257812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  <c r="J1" t="s">
        <v>8</v>
      </c>
      <c r="L1" t="s">
        <v>9</v>
      </c>
      <c r="M1" s="2">
        <f>MAX(J2:J37)</f>
        <v>3.6637725407881357E-2</v>
      </c>
    </row>
    <row r="2" spans="1:13">
      <c r="A2">
        <v>0</v>
      </c>
      <c r="B2">
        <v>4.4289999999999559</v>
      </c>
      <c r="C2">
        <v>3.9109999999999538</v>
      </c>
      <c r="D2">
        <v>5.683999999999962</v>
      </c>
      <c r="E2">
        <v>5.683999999999962</v>
      </c>
      <c r="F2">
        <v>4.4289999999999559</v>
      </c>
      <c r="G2">
        <v>3.9109999999999538</v>
      </c>
      <c r="I2">
        <f>(B2-F2)</f>
        <v>0</v>
      </c>
      <c r="J2" s="1">
        <f>(I2/B2)</f>
        <v>0</v>
      </c>
      <c r="L2" t="s">
        <v>10</v>
      </c>
      <c r="M2" s="2">
        <f>AVERAGE(J2:J37)</f>
        <v>-9.0586610307279436E-3</v>
      </c>
    </row>
    <row r="3" spans="1:13">
      <c r="A3">
        <v>0</v>
      </c>
      <c r="B3">
        <v>7.3789999999999543</v>
      </c>
      <c r="C3">
        <v>3.605999999999955</v>
      </c>
      <c r="D3">
        <v>8.9959999999999418</v>
      </c>
      <c r="E3">
        <v>8.9959999999999418</v>
      </c>
      <c r="F3">
        <v>7.3789999999999543</v>
      </c>
      <c r="G3">
        <v>3.605999999999955</v>
      </c>
      <c r="I3">
        <f t="shared" ref="I3:I37" si="0">(B3-F3)</f>
        <v>0</v>
      </c>
      <c r="J3" s="1">
        <f t="shared" ref="J3:J37" si="1">(I3/B3)</f>
        <v>0</v>
      </c>
      <c r="L3" t="s">
        <v>11</v>
      </c>
      <c r="M3" s="1">
        <f>COUNTIF(I2:I37,0)/COUNT(I2:I37)</f>
        <v>0.41666666666666669</v>
      </c>
    </row>
    <row r="4" spans="1:13">
      <c r="A4">
        <v>0</v>
      </c>
      <c r="B4">
        <v>9.2109999999999399</v>
      </c>
      <c r="C4">
        <v>3.2769999999999486</v>
      </c>
      <c r="D4">
        <v>10.635999999999926</v>
      </c>
      <c r="E4">
        <v>11.101999999999924</v>
      </c>
      <c r="F4">
        <v>9.3759999999999497</v>
      </c>
      <c r="G4">
        <v>3.3379999999999592</v>
      </c>
      <c r="I4">
        <f t="shared" si="0"/>
        <v>-0.16500000000000981</v>
      </c>
      <c r="J4" s="1">
        <f t="shared" si="1"/>
        <v>-1.7913364455543469E-2</v>
      </c>
    </row>
    <row r="5" spans="1:13">
      <c r="A5">
        <v>0</v>
      </c>
      <c r="B5">
        <v>11.023999999999926</v>
      </c>
      <c r="C5">
        <v>3.2169999999999574</v>
      </c>
      <c r="D5">
        <v>12.800999999999933</v>
      </c>
      <c r="E5">
        <v>12.70699999999993</v>
      </c>
      <c r="F5">
        <v>11.114999999999922</v>
      </c>
      <c r="G5">
        <v>3.0849999999999582</v>
      </c>
      <c r="I5">
        <f t="shared" si="0"/>
        <v>-9.0999999999995751E-2</v>
      </c>
      <c r="J5" s="1">
        <f t="shared" si="1"/>
        <v>-8.2547169811317458E-3</v>
      </c>
    </row>
    <row r="6" spans="1:13">
      <c r="A6">
        <v>1</v>
      </c>
      <c r="B6">
        <v>5.8769999999999571</v>
      </c>
      <c r="C6">
        <v>10.651999999999962</v>
      </c>
      <c r="D6">
        <v>9.4209999999999603</v>
      </c>
      <c r="E6">
        <v>9.4209999999999603</v>
      </c>
      <c r="F6">
        <v>5.8769999999999571</v>
      </c>
      <c r="G6">
        <v>10.651999999999962</v>
      </c>
      <c r="I6">
        <f t="shared" si="0"/>
        <v>0</v>
      </c>
      <c r="J6" s="1">
        <f t="shared" si="1"/>
        <v>0</v>
      </c>
    </row>
    <row r="7" spans="1:13">
      <c r="A7">
        <v>1</v>
      </c>
      <c r="B7">
        <v>9.4649999999999572</v>
      </c>
      <c r="C7">
        <v>8.9219999999999615</v>
      </c>
      <c r="D7">
        <v>13.52199999999994</v>
      </c>
      <c r="E7">
        <v>13.894999999999955</v>
      </c>
      <c r="F7">
        <v>9.7219999999999338</v>
      </c>
      <c r="G7">
        <v>8.784999999999954</v>
      </c>
      <c r="I7">
        <f t="shared" si="0"/>
        <v>-0.25699999999997658</v>
      </c>
      <c r="J7" s="1">
        <f t="shared" si="1"/>
        <v>-2.7152667723188351E-2</v>
      </c>
    </row>
    <row r="8" spans="1:13">
      <c r="A8">
        <v>1</v>
      </c>
      <c r="B8">
        <v>12.180999999999926</v>
      </c>
      <c r="C8">
        <v>7.6489999999999521</v>
      </c>
      <c r="D8">
        <v>16.249999999999968</v>
      </c>
      <c r="E8">
        <v>15.964999999999986</v>
      </c>
      <c r="F8">
        <v>11.923999999999925</v>
      </c>
      <c r="G8">
        <v>7.7519999999999616</v>
      </c>
      <c r="I8">
        <f t="shared" si="0"/>
        <v>0.25700000000000145</v>
      </c>
      <c r="J8" s="1">
        <f t="shared" si="1"/>
        <v>2.1098431984237994E-2</v>
      </c>
    </row>
    <row r="9" spans="1:13">
      <c r="A9">
        <v>1</v>
      </c>
      <c r="B9">
        <v>13.824999999999957</v>
      </c>
      <c r="C9">
        <v>7.0589999999999682</v>
      </c>
      <c r="D9">
        <v>17.879999999999956</v>
      </c>
      <c r="E9">
        <v>17.879999999999956</v>
      </c>
      <c r="F9">
        <v>13.824999999999957</v>
      </c>
      <c r="G9">
        <v>7.0589999999999682</v>
      </c>
      <c r="I9">
        <f t="shared" si="0"/>
        <v>0</v>
      </c>
      <c r="J9" s="1">
        <f t="shared" si="1"/>
        <v>0</v>
      </c>
    </row>
    <row r="10" spans="1:13">
      <c r="A10">
        <v>2</v>
      </c>
      <c r="B10">
        <v>7.0549999999999544</v>
      </c>
      <c r="C10">
        <v>4.0489999999999604</v>
      </c>
      <c r="D10">
        <v>8.9519999999999555</v>
      </c>
      <c r="E10">
        <v>9.5669999999999344</v>
      </c>
      <c r="F10">
        <v>7.4069999999999565</v>
      </c>
      <c r="G10">
        <v>4.0449999999999529</v>
      </c>
      <c r="I10">
        <f t="shared" si="0"/>
        <v>-0.35200000000000209</v>
      </c>
      <c r="J10" s="1">
        <f t="shared" si="1"/>
        <v>-4.9893692416726344E-2</v>
      </c>
    </row>
    <row r="11" spans="1:13">
      <c r="A11">
        <v>2</v>
      </c>
      <c r="B11">
        <v>11.291999999999936</v>
      </c>
      <c r="C11">
        <v>3.603999999999957</v>
      </c>
      <c r="D11">
        <v>13.771999999999936</v>
      </c>
      <c r="E11">
        <v>13.771999999999936</v>
      </c>
      <c r="F11">
        <v>11.291999999999936</v>
      </c>
      <c r="G11">
        <v>3.603999999999957</v>
      </c>
      <c r="I11">
        <f t="shared" si="0"/>
        <v>0</v>
      </c>
      <c r="J11" s="1">
        <f t="shared" si="1"/>
        <v>0</v>
      </c>
    </row>
    <row r="12" spans="1:13">
      <c r="A12">
        <v>2</v>
      </c>
      <c r="B12">
        <v>12.958999999999937</v>
      </c>
      <c r="C12">
        <v>3.3029999999999524</v>
      </c>
      <c r="D12">
        <v>15.34199999999999</v>
      </c>
      <c r="E12">
        <v>15.644999999999994</v>
      </c>
      <c r="F12">
        <v>13.445999999999952</v>
      </c>
      <c r="G12">
        <v>3.1809999999999561</v>
      </c>
      <c r="I12">
        <f t="shared" si="0"/>
        <v>-0.48700000000001431</v>
      </c>
      <c r="J12" s="1">
        <f t="shared" si="1"/>
        <v>-3.7580060189830747E-2</v>
      </c>
    </row>
    <row r="13" spans="1:13">
      <c r="A13">
        <v>2</v>
      </c>
      <c r="B13">
        <v>14.289999999999948</v>
      </c>
      <c r="C13">
        <v>3.2209999999999543</v>
      </c>
      <c r="D13">
        <v>16.507000000000019</v>
      </c>
      <c r="E13">
        <v>17.055999999999983</v>
      </c>
      <c r="F13">
        <v>14.698999999999973</v>
      </c>
      <c r="G13">
        <v>3.1559999999999611</v>
      </c>
      <c r="I13">
        <f t="shared" si="0"/>
        <v>-0.40900000000002557</v>
      </c>
      <c r="J13" s="1">
        <f t="shared" si="1"/>
        <v>-2.8621413575929115E-2</v>
      </c>
    </row>
    <row r="14" spans="1:13">
      <c r="A14">
        <v>3</v>
      </c>
      <c r="B14">
        <v>5.7769999999999513</v>
      </c>
      <c r="C14">
        <v>3.7769999999999624</v>
      </c>
      <c r="D14">
        <v>7.2819999999999476</v>
      </c>
      <c r="E14">
        <v>7.2819999999999476</v>
      </c>
      <c r="F14">
        <v>5.7769999999999513</v>
      </c>
      <c r="G14">
        <v>3.7769999999999624</v>
      </c>
      <c r="I14">
        <f t="shared" si="0"/>
        <v>0</v>
      </c>
      <c r="J14" s="1">
        <f t="shared" si="1"/>
        <v>0</v>
      </c>
    </row>
    <row r="15" spans="1:13">
      <c r="A15">
        <v>3</v>
      </c>
      <c r="B15">
        <v>8.3599999999999621</v>
      </c>
      <c r="C15">
        <v>3.4199999999999551</v>
      </c>
      <c r="D15">
        <v>10.176999999999932</v>
      </c>
      <c r="E15">
        <v>10.387999999999927</v>
      </c>
      <c r="F15">
        <v>8.4949999999999637</v>
      </c>
      <c r="G15">
        <v>3.361999999999953</v>
      </c>
      <c r="I15">
        <f t="shared" si="0"/>
        <v>-0.13500000000000156</v>
      </c>
      <c r="J15" s="1">
        <f t="shared" si="1"/>
        <v>-1.6148325358851936E-2</v>
      </c>
    </row>
    <row r="16" spans="1:13">
      <c r="A16">
        <v>3</v>
      </c>
      <c r="B16">
        <v>10.480999999999934</v>
      </c>
      <c r="C16">
        <v>3.1949999999999568</v>
      </c>
      <c r="D16">
        <v>12.599999999999946</v>
      </c>
      <c r="E16">
        <v>11.947999999999938</v>
      </c>
      <c r="F16">
        <v>10.096999999999932</v>
      </c>
      <c r="G16">
        <v>3.2269999999999568</v>
      </c>
      <c r="I16">
        <f t="shared" si="0"/>
        <v>0.38400000000000212</v>
      </c>
      <c r="J16" s="1">
        <f t="shared" si="1"/>
        <v>3.6637725407881357E-2</v>
      </c>
    </row>
    <row r="17" spans="1:10">
      <c r="A17">
        <v>3</v>
      </c>
      <c r="B17">
        <v>12.092999999999945</v>
      </c>
      <c r="C17">
        <v>2.9869999999999535</v>
      </c>
      <c r="D17">
        <v>14.067999999999955</v>
      </c>
      <c r="E17">
        <v>13.836999999999939</v>
      </c>
      <c r="F17">
        <v>11.825999999999921</v>
      </c>
      <c r="G17">
        <v>3.0419999999999572</v>
      </c>
      <c r="I17">
        <f t="shared" si="0"/>
        <v>0.26700000000002433</v>
      </c>
      <c r="J17" s="1">
        <f t="shared" si="1"/>
        <v>2.2078888613249446E-2</v>
      </c>
    </row>
    <row r="18" spans="1:10">
      <c r="A18">
        <v>4</v>
      </c>
      <c r="B18">
        <v>6.5059999999999381</v>
      </c>
      <c r="C18">
        <v>2.542999999999958</v>
      </c>
      <c r="D18">
        <v>7.3969999999999523</v>
      </c>
      <c r="E18">
        <v>7.3969999999999523</v>
      </c>
      <c r="F18">
        <v>6.5059999999999381</v>
      </c>
      <c r="G18">
        <v>2.542999999999958</v>
      </c>
      <c r="I18">
        <f t="shared" si="0"/>
        <v>0</v>
      </c>
      <c r="J18" s="1">
        <f t="shared" si="1"/>
        <v>0</v>
      </c>
    </row>
    <row r="19" spans="1:10">
      <c r="A19">
        <v>4</v>
      </c>
      <c r="B19">
        <v>9.6649999999999512</v>
      </c>
      <c r="C19">
        <v>2.4999999999999525</v>
      </c>
      <c r="D19">
        <v>10.825999999999951</v>
      </c>
      <c r="E19">
        <v>11.268999999999926</v>
      </c>
      <c r="F19">
        <v>10.033999999999953</v>
      </c>
      <c r="G19">
        <v>2.4659999999999576</v>
      </c>
      <c r="I19">
        <f t="shared" si="0"/>
        <v>-0.36900000000000155</v>
      </c>
      <c r="J19" s="1">
        <f t="shared" si="1"/>
        <v>-3.8178996378686332E-2</v>
      </c>
    </row>
    <row r="20" spans="1:10">
      <c r="A20">
        <v>4</v>
      </c>
      <c r="B20">
        <v>12.245999999999935</v>
      </c>
      <c r="C20">
        <v>2.2509999999999599</v>
      </c>
      <c r="D20">
        <v>13.536999999999951</v>
      </c>
      <c r="E20">
        <v>13.544999999999938</v>
      </c>
      <c r="F20">
        <v>12.270999999999914</v>
      </c>
      <c r="G20">
        <v>2.3059999999999587</v>
      </c>
      <c r="I20">
        <f t="shared" si="0"/>
        <v>-2.4999999999979039E-2</v>
      </c>
      <c r="J20" s="1">
        <f t="shared" si="1"/>
        <v>-2.0414829332009777E-3</v>
      </c>
    </row>
    <row r="21" spans="1:10">
      <c r="A21">
        <v>4</v>
      </c>
      <c r="B21">
        <v>14.022999999999961</v>
      </c>
      <c r="C21">
        <v>2.1149999999999651</v>
      </c>
      <c r="D21">
        <v>15.444999999999975</v>
      </c>
      <c r="E21">
        <v>15.444999999999975</v>
      </c>
      <c r="F21">
        <v>14.022999999999961</v>
      </c>
      <c r="G21">
        <v>2.1149999999999651</v>
      </c>
      <c r="I21">
        <f t="shared" si="0"/>
        <v>0</v>
      </c>
      <c r="J21" s="1">
        <f t="shared" si="1"/>
        <v>0</v>
      </c>
    </row>
    <row r="22" spans="1:10">
      <c r="A22">
        <v>5</v>
      </c>
      <c r="B22">
        <v>5.8059999999999592</v>
      </c>
      <c r="C22">
        <v>4.0179999999999589</v>
      </c>
      <c r="D22">
        <v>7.1079999999999499</v>
      </c>
      <c r="E22">
        <v>7.1079999999999499</v>
      </c>
      <c r="F22">
        <v>5.8059999999999592</v>
      </c>
      <c r="G22">
        <v>4.0179999999999589</v>
      </c>
      <c r="I22">
        <f t="shared" si="0"/>
        <v>0</v>
      </c>
      <c r="J22" s="1">
        <f t="shared" si="1"/>
        <v>0</v>
      </c>
    </row>
    <row r="23" spans="1:10">
      <c r="A23">
        <v>5</v>
      </c>
      <c r="B23">
        <v>8.4899999999999629</v>
      </c>
      <c r="C23">
        <v>3.7319999999999536</v>
      </c>
      <c r="D23">
        <v>10.183999999999944</v>
      </c>
      <c r="E23">
        <v>10.183999999999944</v>
      </c>
      <c r="F23">
        <v>8.4899999999999629</v>
      </c>
      <c r="G23">
        <v>3.7319999999999536</v>
      </c>
      <c r="I23">
        <f t="shared" si="0"/>
        <v>0</v>
      </c>
      <c r="J23" s="1">
        <f t="shared" si="1"/>
        <v>0</v>
      </c>
    </row>
    <row r="24" spans="1:10">
      <c r="A24">
        <v>5</v>
      </c>
      <c r="B24">
        <v>10.081999999999935</v>
      </c>
      <c r="C24">
        <v>3.4149999999999547</v>
      </c>
      <c r="D24">
        <v>11.807999999999936</v>
      </c>
      <c r="E24">
        <v>11.807999999999936</v>
      </c>
      <c r="F24">
        <v>10.081999999999935</v>
      </c>
      <c r="G24">
        <v>3.4149999999999547</v>
      </c>
      <c r="I24">
        <f t="shared" si="0"/>
        <v>0</v>
      </c>
      <c r="J24" s="1">
        <f t="shared" si="1"/>
        <v>0</v>
      </c>
    </row>
    <row r="25" spans="1:10">
      <c r="A25">
        <v>5</v>
      </c>
      <c r="B25">
        <v>11.613999999999903</v>
      </c>
      <c r="C25">
        <v>3.3439999999999537</v>
      </c>
      <c r="D25">
        <v>13.297999999999947</v>
      </c>
      <c r="E25">
        <v>13.478999999999946</v>
      </c>
      <c r="F25">
        <v>11.783999999999924</v>
      </c>
      <c r="G25">
        <v>3.1909999999999568</v>
      </c>
      <c r="I25">
        <f t="shared" si="0"/>
        <v>-0.17000000000002125</v>
      </c>
      <c r="J25" s="1">
        <f t="shared" si="1"/>
        <v>-1.4637506457725389E-2</v>
      </c>
    </row>
    <row r="26" spans="1:10">
      <c r="A26">
        <v>6</v>
      </c>
      <c r="B26">
        <v>6.0909999999999558</v>
      </c>
      <c r="C26">
        <v>5.9049999999999567</v>
      </c>
      <c r="D26">
        <v>8.5009999999999639</v>
      </c>
      <c r="E26">
        <v>8.5009999999999639</v>
      </c>
      <c r="F26">
        <v>6.0909999999999558</v>
      </c>
      <c r="G26">
        <v>5.9049999999999567</v>
      </c>
      <c r="I26">
        <f t="shared" si="0"/>
        <v>0</v>
      </c>
      <c r="J26" s="1">
        <f t="shared" si="1"/>
        <v>0</v>
      </c>
    </row>
    <row r="27" spans="1:10">
      <c r="A27">
        <v>6</v>
      </c>
      <c r="B27">
        <v>8.5069999999999695</v>
      </c>
      <c r="C27">
        <v>5.325999999999957</v>
      </c>
      <c r="D27">
        <v>11.209999999999951</v>
      </c>
      <c r="E27">
        <v>11.851999999999938</v>
      </c>
      <c r="F27">
        <v>9.1079999999999561</v>
      </c>
      <c r="G27">
        <v>5.3569999999999522</v>
      </c>
      <c r="I27">
        <f t="shared" si="0"/>
        <v>-0.60099999999998666</v>
      </c>
      <c r="J27" s="1">
        <f t="shared" si="1"/>
        <v>-7.0647701892557757E-2</v>
      </c>
    </row>
    <row r="28" spans="1:10">
      <c r="A28">
        <v>6</v>
      </c>
      <c r="B28">
        <v>10.972999999999937</v>
      </c>
      <c r="C28">
        <v>4.9489999999999617</v>
      </c>
      <c r="D28">
        <v>13.725999999999951</v>
      </c>
      <c r="E28">
        <v>14.128999999999962</v>
      </c>
      <c r="F28">
        <v>11.360999999999921</v>
      </c>
      <c r="G28">
        <v>4.798999999999956</v>
      </c>
      <c r="I28">
        <f t="shared" si="0"/>
        <v>-0.38799999999998391</v>
      </c>
      <c r="J28" s="1">
        <f t="shared" si="1"/>
        <v>-3.5359518818917905E-2</v>
      </c>
    </row>
    <row r="29" spans="1:10">
      <c r="A29">
        <v>6</v>
      </c>
      <c r="B29">
        <v>12.600999999999926</v>
      </c>
      <c r="C29">
        <v>4.6009999999999547</v>
      </c>
      <c r="D29">
        <v>15.467999999999986</v>
      </c>
      <c r="E29">
        <v>15.238999999999981</v>
      </c>
      <c r="F29">
        <v>12.47599999999991</v>
      </c>
      <c r="G29">
        <v>4.6389999999999558</v>
      </c>
      <c r="I29">
        <f t="shared" si="0"/>
        <v>0.12500000000001599</v>
      </c>
      <c r="J29" s="1">
        <f t="shared" si="1"/>
        <v>9.9198476311417125E-3</v>
      </c>
    </row>
    <row r="30" spans="1:10">
      <c r="A30">
        <v>7</v>
      </c>
      <c r="B30">
        <v>5.4899999999999585</v>
      </c>
      <c r="C30">
        <v>9.7079999999999398</v>
      </c>
      <c r="D30">
        <v>8.3629999999999569</v>
      </c>
      <c r="E30">
        <v>9.0479999999999556</v>
      </c>
      <c r="F30">
        <v>5.8199999999999532</v>
      </c>
      <c r="G30">
        <v>10.024999999999947</v>
      </c>
      <c r="I30">
        <f t="shared" si="0"/>
        <v>-0.32999999999999474</v>
      </c>
      <c r="J30" s="1">
        <f t="shared" si="1"/>
        <v>-6.0109289617485837E-2</v>
      </c>
    </row>
    <row r="31" spans="1:10">
      <c r="A31">
        <v>7</v>
      </c>
      <c r="B31">
        <v>9.3149999999999444</v>
      </c>
      <c r="C31">
        <v>8.5809999999999498</v>
      </c>
      <c r="D31">
        <v>13.114999999999938</v>
      </c>
      <c r="E31">
        <v>13.114999999999938</v>
      </c>
      <c r="F31">
        <v>9.3149999999999444</v>
      </c>
      <c r="G31">
        <v>8.5809999999999498</v>
      </c>
      <c r="I31">
        <f t="shared" si="0"/>
        <v>0</v>
      </c>
      <c r="J31" s="1">
        <f t="shared" si="1"/>
        <v>0</v>
      </c>
    </row>
    <row r="32" spans="1:10">
      <c r="A32">
        <v>7</v>
      </c>
      <c r="B32">
        <v>11.473999999999911</v>
      </c>
      <c r="C32">
        <v>7.7699999999999534</v>
      </c>
      <c r="D32">
        <v>15.381999999999993</v>
      </c>
      <c r="E32">
        <v>15.381999999999993</v>
      </c>
      <c r="F32">
        <v>11.473999999999911</v>
      </c>
      <c r="G32">
        <v>7.7699999999999534</v>
      </c>
      <c r="I32">
        <f t="shared" si="0"/>
        <v>0</v>
      </c>
      <c r="J32" s="1">
        <f t="shared" si="1"/>
        <v>0</v>
      </c>
    </row>
    <row r="33" spans="1:10">
      <c r="A33">
        <v>7</v>
      </c>
      <c r="B33">
        <v>12.875999999999937</v>
      </c>
      <c r="C33">
        <v>7.3869999999999596</v>
      </c>
      <c r="D33">
        <v>16.763000000000016</v>
      </c>
      <c r="E33">
        <v>16.706999999999965</v>
      </c>
      <c r="F33">
        <v>12.908999999999951</v>
      </c>
      <c r="G33">
        <v>7.2999999999999545</v>
      </c>
      <c r="I33">
        <f t="shared" si="0"/>
        <v>-3.3000000000013685E-2</v>
      </c>
      <c r="J33" s="1">
        <f t="shared" si="1"/>
        <v>-2.5629077353226037E-3</v>
      </c>
    </row>
    <row r="34" spans="1:10">
      <c r="A34">
        <v>8</v>
      </c>
      <c r="B34">
        <v>5.9729999999999537</v>
      </c>
      <c r="C34">
        <v>6.4929999999999444</v>
      </c>
      <c r="D34">
        <v>7.9519999999999582</v>
      </c>
      <c r="E34">
        <v>8.1419999999999515</v>
      </c>
      <c r="F34">
        <v>6.050999999999954</v>
      </c>
      <c r="G34">
        <v>6.0999999999999428</v>
      </c>
      <c r="I34">
        <f t="shared" si="0"/>
        <v>-7.8000000000000291E-2</v>
      </c>
      <c r="J34" s="1">
        <f t="shared" si="1"/>
        <v>-1.305876443998006E-2</v>
      </c>
    </row>
    <row r="35" spans="1:10">
      <c r="A35">
        <v>8</v>
      </c>
      <c r="B35">
        <v>9.6519999999999424</v>
      </c>
      <c r="C35">
        <v>5.5369999999999484</v>
      </c>
      <c r="D35">
        <v>12.229999999999947</v>
      </c>
      <c r="E35">
        <v>12.229999999999947</v>
      </c>
      <c r="F35">
        <v>9.6519999999999424</v>
      </c>
      <c r="G35">
        <v>5.5369999999999484</v>
      </c>
      <c r="I35">
        <f t="shared" si="0"/>
        <v>0</v>
      </c>
      <c r="J35" s="1">
        <f t="shared" si="1"/>
        <v>0</v>
      </c>
    </row>
    <row r="36" spans="1:10">
      <c r="A36">
        <v>8</v>
      </c>
      <c r="B36">
        <v>11.513999999999946</v>
      </c>
      <c r="C36">
        <v>4.9959999999999578</v>
      </c>
      <c r="D36">
        <v>14.249999999999961</v>
      </c>
      <c r="E36">
        <v>13.965999999999946</v>
      </c>
      <c r="F36">
        <v>11.17399999999993</v>
      </c>
      <c r="G36">
        <v>5.1599999999999442</v>
      </c>
      <c r="I36">
        <f t="shared" si="0"/>
        <v>0.34000000000001585</v>
      </c>
      <c r="J36" s="1">
        <f t="shared" si="1"/>
        <v>2.9529268716346833E-2</v>
      </c>
    </row>
    <row r="37" spans="1:10">
      <c r="A37">
        <v>8</v>
      </c>
      <c r="B37">
        <v>12.706999999999944</v>
      </c>
      <c r="C37">
        <v>4.800999999999962</v>
      </c>
      <c r="D37">
        <v>15.429999999999996</v>
      </c>
      <c r="E37">
        <v>15.735999999999986</v>
      </c>
      <c r="F37">
        <v>13.001999999999937</v>
      </c>
      <c r="G37">
        <v>4.7289999999999592</v>
      </c>
      <c r="I37">
        <f t="shared" si="0"/>
        <v>-0.29499999999999282</v>
      </c>
      <c r="J37" s="1">
        <f t="shared" si="1"/>
        <v>-2.3215550483984743E-2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58CCD-5871-5142-A68C-AC2E1ACA349A}">
  <dimension ref="A1"/>
  <sheetViews>
    <sheetView workbookViewId="0"/>
  </sheetViews>
  <sheetFormatPr baseColWidth="10" defaultRowHeight="20"/>
  <sheetData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47C54E2-28DA-C040-AF89-C3F7284ECB0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お互いにDP(dense_user_p1_egotwitter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小川 薫</dc:creator>
  <cp:lastModifiedBy>小川 薫</cp:lastModifiedBy>
  <dcterms:created xsi:type="dcterms:W3CDTF">2025-12-02T05:19:49Z</dcterms:created>
  <dcterms:modified xsi:type="dcterms:W3CDTF">2025-12-03T06:45:44Z</dcterms:modified>
</cp:coreProperties>
</file>